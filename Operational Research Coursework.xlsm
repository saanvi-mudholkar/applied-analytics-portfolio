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aanvimudholkar/Documents/MSc Business Analytics/MSCI502_Operational Research and Prescriptive analytics/Coursework/"/>
    </mc:Choice>
  </mc:AlternateContent>
  <xr:revisionPtr revIDLastSave="0" documentId="13_ncr:1_{113226DB-D18A-FB45-A4D7-FA89EB1036EC}" xr6:coauthVersionLast="47" xr6:coauthVersionMax="47" xr10:uidLastSave="{00000000-0000-0000-0000-000000000000}"/>
  <bookViews>
    <workbookView xWindow="0" yWindow="500" windowWidth="28800" windowHeight="16180" activeTab="1" xr2:uid="{8580E079-73DD-4CA9-B973-BB8AD557FDC1}"/>
  </bookViews>
  <sheets>
    <sheet name="User" sheetId="1" r:id="rId1"/>
    <sheet name="Model" sheetId="2" r:id="rId2"/>
  </sheet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6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olver_adj" localSheetId="1" hidden="1">Model!$D$20:$M$20</definedName>
    <definedName name="solver_cvg" localSheetId="1" hidden="1">0.0001</definedName>
    <definedName name="solver_drv" localSheetId="1" hidden="1">1</definedName>
    <definedName name="solver_eng" localSheetId="1" hidden="1">2</definedName>
    <definedName name="solver_itr" localSheetId="1" hidden="1">2147483647</definedName>
    <definedName name="solver_lhs1" localSheetId="1" hidden="1">Model!$O$24</definedName>
    <definedName name="solver_lhs10" localSheetId="1" hidden="1">Model!$O$33</definedName>
    <definedName name="solver_lhs100" localSheetId="1" hidden="1">Model!$O$28</definedName>
    <definedName name="solver_lhs101" localSheetId="1" hidden="1">Model!$O$29</definedName>
    <definedName name="solver_lhs102" localSheetId="1" hidden="1">Model!$O$30</definedName>
    <definedName name="solver_lhs103" localSheetId="1" hidden="1">Model!$O$31</definedName>
    <definedName name="solver_lhs104" localSheetId="1" hidden="1">Model!$O$32</definedName>
    <definedName name="solver_lhs105" localSheetId="1" hidden="1">Model!$O$33</definedName>
    <definedName name="solver_lhs106" localSheetId="1" hidden="1">Model!$O$34</definedName>
    <definedName name="solver_lhs107" localSheetId="1" hidden="1">Model!$O$35</definedName>
    <definedName name="solver_lhs108" localSheetId="1" hidden="1">Model!$O$36</definedName>
    <definedName name="solver_lhs109" localSheetId="1" hidden="1">Model!$O$37</definedName>
    <definedName name="solver_lhs11" localSheetId="1" hidden="1">Model!$O$34</definedName>
    <definedName name="solver_lhs110" localSheetId="1" hidden="1">Model!$O$38</definedName>
    <definedName name="solver_lhs111" localSheetId="1" hidden="1">Model!$O$39</definedName>
    <definedName name="solver_lhs112" localSheetId="1" hidden="1">Model!$O$40</definedName>
    <definedName name="solver_lhs113" localSheetId="1" hidden="1">Model!$O$41</definedName>
    <definedName name="solver_lhs114" localSheetId="1" hidden="1">Model!$D$20:$M$20</definedName>
    <definedName name="solver_lhs115" localSheetId="1" hidden="1">Model!$O$24</definedName>
    <definedName name="solver_lhs116" localSheetId="1" hidden="1">Model!$O$25</definedName>
    <definedName name="solver_lhs117" localSheetId="1" hidden="1">Model!$O$26</definedName>
    <definedName name="solver_lhs118" localSheetId="1" hidden="1">Model!$O$27</definedName>
    <definedName name="solver_lhs119" localSheetId="1" hidden="1">Model!$O$28</definedName>
    <definedName name="solver_lhs12" localSheetId="1" hidden="1">Model!$O$35</definedName>
    <definedName name="solver_lhs120" localSheetId="1" hidden="1">Model!$O$29</definedName>
    <definedName name="solver_lhs121" localSheetId="1" hidden="1">Model!$O$30</definedName>
    <definedName name="solver_lhs122" localSheetId="1" hidden="1">Model!$O$31</definedName>
    <definedName name="solver_lhs123" localSheetId="1" hidden="1">Model!$O$32</definedName>
    <definedName name="solver_lhs124" localSheetId="1" hidden="1">Model!$O$33</definedName>
    <definedName name="solver_lhs125" localSheetId="1" hidden="1">Model!$O$34</definedName>
    <definedName name="solver_lhs126" localSheetId="1" hidden="1">Model!$O$35</definedName>
    <definedName name="solver_lhs127" localSheetId="1" hidden="1">Model!$O$36</definedName>
    <definedName name="solver_lhs128" localSheetId="1" hidden="1">Model!$O$37</definedName>
    <definedName name="solver_lhs129" localSheetId="1" hidden="1">Model!$O$38</definedName>
    <definedName name="solver_lhs13" localSheetId="1" hidden="1">Model!$O$36</definedName>
    <definedName name="solver_lhs130" localSheetId="1" hidden="1">Model!$O$39</definedName>
    <definedName name="solver_lhs131" localSheetId="1" hidden="1">Model!$O$40</definedName>
    <definedName name="solver_lhs132" localSheetId="1" hidden="1">Model!$O$41</definedName>
    <definedName name="solver_lhs133" localSheetId="1" hidden="1">Model!$D$20:$M$20</definedName>
    <definedName name="solver_lhs134" localSheetId="1" hidden="1">Model!$O$24</definedName>
    <definedName name="solver_lhs135" localSheetId="1" hidden="1">Model!$O$25</definedName>
    <definedName name="solver_lhs136" localSheetId="1" hidden="1">Model!$O$26</definedName>
    <definedName name="solver_lhs137" localSheetId="1" hidden="1">Model!$O$27</definedName>
    <definedName name="solver_lhs138" localSheetId="1" hidden="1">Model!$O$28</definedName>
    <definedName name="solver_lhs139" localSheetId="1" hidden="1">Model!$O$29</definedName>
    <definedName name="solver_lhs14" localSheetId="1" hidden="1">Model!$O$37</definedName>
    <definedName name="solver_lhs140" localSheetId="1" hidden="1">Model!$O$30</definedName>
    <definedName name="solver_lhs141" localSheetId="1" hidden="1">Model!$O$31</definedName>
    <definedName name="solver_lhs142" localSheetId="1" hidden="1">Model!$O$32</definedName>
    <definedName name="solver_lhs143" localSheetId="1" hidden="1">Model!$O$33</definedName>
    <definedName name="solver_lhs144" localSheetId="1" hidden="1">Model!$O$34</definedName>
    <definedName name="solver_lhs145" localSheetId="1" hidden="1">Model!$O$35</definedName>
    <definedName name="solver_lhs146" localSheetId="1" hidden="1">Model!$O$36</definedName>
    <definedName name="solver_lhs147" localSheetId="1" hidden="1">Model!$O$37</definedName>
    <definedName name="solver_lhs148" localSheetId="1" hidden="1">Model!$O$38</definedName>
    <definedName name="solver_lhs149" localSheetId="1" hidden="1">Model!$O$39</definedName>
    <definedName name="solver_lhs15" localSheetId="1" hidden="1">Model!$O$38</definedName>
    <definedName name="solver_lhs150" localSheetId="1" hidden="1">Model!$O$40</definedName>
    <definedName name="solver_lhs151" localSheetId="1" hidden="1">Model!$O$41</definedName>
    <definedName name="solver_lhs152" localSheetId="1" hidden="1">Model!$D$20:$M$20</definedName>
    <definedName name="solver_lhs16" localSheetId="1" hidden="1">Model!$O$39</definedName>
    <definedName name="solver_lhs17" localSheetId="1" hidden="1">Model!$O$40</definedName>
    <definedName name="solver_lhs18" localSheetId="1" hidden="1">Model!$O$41</definedName>
    <definedName name="solver_lhs19" localSheetId="1" hidden="1">Model!$O$41</definedName>
    <definedName name="solver_lhs2" localSheetId="1" hidden="1">Model!$O$25</definedName>
    <definedName name="solver_lhs20" localSheetId="1" hidden="1">Model!$O$26</definedName>
    <definedName name="solver_lhs21" localSheetId="1" hidden="1">Model!$O$28</definedName>
    <definedName name="solver_lhs22" localSheetId="1" hidden="1">Model!$O$28</definedName>
    <definedName name="solver_lhs23" localSheetId="1" hidden="1">Model!$O$28</definedName>
    <definedName name="solver_lhs24" localSheetId="1" hidden="1">Model!$O$28</definedName>
    <definedName name="solver_lhs25" localSheetId="1" hidden="1">Model!$O$29</definedName>
    <definedName name="solver_lhs26" localSheetId="1" hidden="1">Model!$O$29</definedName>
    <definedName name="solver_lhs27" localSheetId="1" hidden="1">Model!$O$29</definedName>
    <definedName name="solver_lhs28" localSheetId="1" hidden="1">Model!$O$29</definedName>
    <definedName name="solver_lhs29" localSheetId="1" hidden="1">Model!$O$30</definedName>
    <definedName name="solver_lhs3" localSheetId="1" hidden="1">Model!$O$26</definedName>
    <definedName name="solver_lhs30" localSheetId="1" hidden="1">Model!$O$30</definedName>
    <definedName name="solver_lhs31" localSheetId="1" hidden="1">Model!$O$30</definedName>
    <definedName name="solver_lhs32" localSheetId="1" hidden="1">Model!$O$30</definedName>
    <definedName name="solver_lhs33" localSheetId="1" hidden="1">Model!$O$31</definedName>
    <definedName name="solver_lhs34" localSheetId="1" hidden="1">Model!$O$31</definedName>
    <definedName name="solver_lhs35" localSheetId="1" hidden="1">Model!$O$31</definedName>
    <definedName name="solver_lhs36" localSheetId="1" hidden="1">Model!$O$31</definedName>
    <definedName name="solver_lhs37" localSheetId="1" hidden="1">Model!$O$32</definedName>
    <definedName name="solver_lhs38" localSheetId="1" hidden="1">Model!$O$32</definedName>
    <definedName name="solver_lhs39" localSheetId="1" hidden="1">Model!$O$32</definedName>
    <definedName name="solver_lhs4" localSheetId="1" hidden="1">Model!$O$27</definedName>
    <definedName name="solver_lhs40" localSheetId="1" hidden="1">Model!$O$32</definedName>
    <definedName name="solver_lhs41" localSheetId="1" hidden="1">Model!$O$33</definedName>
    <definedName name="solver_lhs42" localSheetId="1" hidden="1">Model!$O$33</definedName>
    <definedName name="solver_lhs43" localSheetId="1" hidden="1">Model!$O$33</definedName>
    <definedName name="solver_lhs44" localSheetId="1" hidden="1">Model!$O$33</definedName>
    <definedName name="solver_lhs45" localSheetId="1" hidden="1">Model!$O$34</definedName>
    <definedName name="solver_lhs46" localSheetId="1" hidden="1">Model!$O$34</definedName>
    <definedName name="solver_lhs47" localSheetId="1" hidden="1">Model!$O$34</definedName>
    <definedName name="solver_lhs48" localSheetId="1" hidden="1">Model!$O$34</definedName>
    <definedName name="solver_lhs49" localSheetId="1" hidden="1">Model!$O$35</definedName>
    <definedName name="solver_lhs5" localSheetId="1" hidden="1">Model!$O$28</definedName>
    <definedName name="solver_lhs50" localSheetId="1" hidden="1">Model!$O$35</definedName>
    <definedName name="solver_lhs51" localSheetId="1" hidden="1">Model!$O$35</definedName>
    <definedName name="solver_lhs52" localSheetId="1" hidden="1">Model!$O$35</definedName>
    <definedName name="solver_lhs53" localSheetId="1" hidden="1">Model!$O$36</definedName>
    <definedName name="solver_lhs54" localSheetId="1" hidden="1">Model!$O$36</definedName>
    <definedName name="solver_lhs55" localSheetId="1" hidden="1">Model!$O$36</definedName>
    <definedName name="solver_lhs56" localSheetId="1" hidden="1">Model!$O$36</definedName>
    <definedName name="solver_lhs57" localSheetId="1" hidden="1">Model!$O$37</definedName>
    <definedName name="solver_lhs58" localSheetId="1" hidden="1">Model!$O$37</definedName>
    <definedName name="solver_lhs59" localSheetId="1" hidden="1">Model!$O$37</definedName>
    <definedName name="solver_lhs6" localSheetId="1" hidden="1">Model!$O$29</definedName>
    <definedName name="solver_lhs60" localSheetId="1" hidden="1">Model!$O$37</definedName>
    <definedName name="solver_lhs61" localSheetId="1" hidden="1">Model!$O$38</definedName>
    <definedName name="solver_lhs62" localSheetId="1" hidden="1">Model!$O$38</definedName>
    <definedName name="solver_lhs63" localSheetId="1" hidden="1">Model!$O$38</definedName>
    <definedName name="solver_lhs64" localSheetId="1" hidden="1">Model!$O$38</definedName>
    <definedName name="solver_lhs65" localSheetId="1" hidden="1">Model!$O$39</definedName>
    <definedName name="solver_lhs66" localSheetId="1" hidden="1">Model!$O$39</definedName>
    <definedName name="solver_lhs67" localSheetId="1" hidden="1">Model!$O$39</definedName>
    <definedName name="solver_lhs68" localSheetId="1" hidden="1">Model!$O$39</definedName>
    <definedName name="solver_lhs69" localSheetId="1" hidden="1">Model!$O$40</definedName>
    <definedName name="solver_lhs7" localSheetId="1" hidden="1">Model!$O$30</definedName>
    <definedName name="solver_lhs70" localSheetId="1" hidden="1">Model!$O$40</definedName>
    <definedName name="solver_lhs71" localSheetId="1" hidden="1">Model!$O$40</definedName>
    <definedName name="solver_lhs72" localSheetId="1" hidden="1">Model!$O$40</definedName>
    <definedName name="solver_lhs73" localSheetId="1" hidden="1">Model!$O$41</definedName>
    <definedName name="solver_lhs74" localSheetId="1" hidden="1">Model!$O$41</definedName>
    <definedName name="solver_lhs75" localSheetId="1" hidden="1">Model!$O$41</definedName>
    <definedName name="solver_lhs76" localSheetId="1" hidden="1">Model!$O$41</definedName>
    <definedName name="solver_lhs77" localSheetId="1" hidden="1">Model!$O$24</definedName>
    <definedName name="solver_lhs78" localSheetId="1" hidden="1">Model!$O$25</definedName>
    <definedName name="solver_lhs79" localSheetId="1" hidden="1">Model!$O$26</definedName>
    <definedName name="solver_lhs8" localSheetId="1" hidden="1">Model!$O$31</definedName>
    <definedName name="solver_lhs80" localSheetId="1" hidden="1">Model!$O$27</definedName>
    <definedName name="solver_lhs81" localSheetId="1" hidden="1">Model!$O$28</definedName>
    <definedName name="solver_lhs82" localSheetId="1" hidden="1">Model!$O$29</definedName>
    <definedName name="solver_lhs83" localSheetId="1" hidden="1">Model!$O$30</definedName>
    <definedName name="solver_lhs84" localSheetId="1" hidden="1">Model!$O$31</definedName>
    <definedName name="solver_lhs85" localSheetId="1" hidden="1">Model!$O$32</definedName>
    <definedName name="solver_lhs86" localSheetId="1" hidden="1">Model!$O$33</definedName>
    <definedName name="solver_lhs87" localSheetId="1" hidden="1">Model!$O$34</definedName>
    <definedName name="solver_lhs88" localSheetId="1" hidden="1">Model!$O$35</definedName>
    <definedName name="solver_lhs89" localSheetId="1" hidden="1">Model!$O$36</definedName>
    <definedName name="solver_lhs9" localSheetId="1" hidden="1">Model!$O$32</definedName>
    <definedName name="solver_lhs90" localSheetId="1" hidden="1">Model!$O$37</definedName>
    <definedName name="solver_lhs91" localSheetId="1" hidden="1">Model!$O$38</definedName>
    <definedName name="solver_lhs92" localSheetId="1" hidden="1">Model!$O$39</definedName>
    <definedName name="solver_lhs93" localSheetId="1" hidden="1">Model!$O$40</definedName>
    <definedName name="solver_lhs94" localSheetId="1" hidden="1">Model!$O$41</definedName>
    <definedName name="solver_lhs95" localSheetId="1" hidden="1">Model!$D$20:$M$20</definedName>
    <definedName name="solver_lhs96" localSheetId="1" hidden="1">Model!$O$24</definedName>
    <definedName name="solver_lhs97" localSheetId="1" hidden="1">Model!$O$25</definedName>
    <definedName name="solver_lhs98" localSheetId="1" hidden="1">Model!$O$26</definedName>
    <definedName name="solver_lhs99" localSheetId="1" hidden="1">Model!$O$27</definedName>
    <definedName name="solver_lin" localSheetId="1" hidden="1">1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18</definedName>
    <definedName name="solver_opt" localSheetId="1" hidden="1">Model!$O$21</definedName>
    <definedName name="solver_pre" localSheetId="1" hidden="1">0.000001</definedName>
    <definedName name="solver_rbv" localSheetId="1" hidden="1">1</definedName>
    <definedName name="solver_rel1" localSheetId="1" hidden="1">2</definedName>
    <definedName name="solver_rel10" localSheetId="1" hidden="1">1</definedName>
    <definedName name="solver_rel100" localSheetId="1" hidden="1">2</definedName>
    <definedName name="solver_rel101" localSheetId="1" hidden="1">2</definedName>
    <definedName name="solver_rel102" localSheetId="1" hidden="1">2</definedName>
    <definedName name="solver_rel103" localSheetId="1" hidden="1">1</definedName>
    <definedName name="solver_rel104" localSheetId="1" hidden="1">1</definedName>
    <definedName name="solver_rel105" localSheetId="1" hidden="1">1</definedName>
    <definedName name="solver_rel106" localSheetId="1" hidden="1">1</definedName>
    <definedName name="solver_rel107" localSheetId="1" hidden="1">1</definedName>
    <definedName name="solver_rel108" localSheetId="1" hidden="1">1</definedName>
    <definedName name="solver_rel109" localSheetId="1" hidden="1">1</definedName>
    <definedName name="solver_rel11" localSheetId="1" hidden="1">1</definedName>
    <definedName name="solver_rel110" localSheetId="1" hidden="1">1</definedName>
    <definedName name="solver_rel111" localSheetId="1" hidden="1">1</definedName>
    <definedName name="solver_rel112" localSheetId="1" hidden="1">1</definedName>
    <definedName name="solver_rel113" localSheetId="1" hidden="1">1</definedName>
    <definedName name="solver_rel114" localSheetId="1" hidden="1">4</definedName>
    <definedName name="solver_rel115" localSheetId="1" hidden="1">2</definedName>
    <definedName name="solver_rel116" localSheetId="1" hidden="1">2</definedName>
    <definedName name="solver_rel117" localSheetId="1" hidden="1">2</definedName>
    <definedName name="solver_rel118" localSheetId="1" hidden="1">2</definedName>
    <definedName name="solver_rel119" localSheetId="1" hidden="1">2</definedName>
    <definedName name="solver_rel12" localSheetId="1" hidden="1">1</definedName>
    <definedName name="solver_rel120" localSheetId="1" hidden="1">2</definedName>
    <definedName name="solver_rel121" localSheetId="1" hidden="1">2</definedName>
    <definedName name="solver_rel122" localSheetId="1" hidden="1">1</definedName>
    <definedName name="solver_rel123" localSheetId="1" hidden="1">1</definedName>
    <definedName name="solver_rel124" localSheetId="1" hidden="1">1</definedName>
    <definedName name="solver_rel125" localSheetId="1" hidden="1">1</definedName>
    <definedName name="solver_rel126" localSheetId="1" hidden="1">1</definedName>
    <definedName name="solver_rel127" localSheetId="1" hidden="1">1</definedName>
    <definedName name="solver_rel128" localSheetId="1" hidden="1">1</definedName>
    <definedName name="solver_rel129" localSheetId="1" hidden="1">1</definedName>
    <definedName name="solver_rel13" localSheetId="1" hidden="1">1</definedName>
    <definedName name="solver_rel130" localSheetId="1" hidden="1">1</definedName>
    <definedName name="solver_rel131" localSheetId="1" hidden="1">1</definedName>
    <definedName name="solver_rel132" localSheetId="1" hidden="1">1</definedName>
    <definedName name="solver_rel133" localSheetId="1" hidden="1">4</definedName>
    <definedName name="solver_rel134" localSheetId="1" hidden="1">2</definedName>
    <definedName name="solver_rel135" localSheetId="1" hidden="1">2</definedName>
    <definedName name="solver_rel136" localSheetId="1" hidden="1">2</definedName>
    <definedName name="solver_rel137" localSheetId="1" hidden="1">2</definedName>
    <definedName name="solver_rel138" localSheetId="1" hidden="1">2</definedName>
    <definedName name="solver_rel139" localSheetId="1" hidden="1">2</definedName>
    <definedName name="solver_rel14" localSheetId="1" hidden="1">1</definedName>
    <definedName name="solver_rel140" localSheetId="1" hidden="1">2</definedName>
    <definedName name="solver_rel141" localSheetId="1" hidden="1">1</definedName>
    <definedName name="solver_rel142" localSheetId="1" hidden="1">1</definedName>
    <definedName name="solver_rel143" localSheetId="1" hidden="1">1</definedName>
    <definedName name="solver_rel144" localSheetId="1" hidden="1">1</definedName>
    <definedName name="solver_rel145" localSheetId="1" hidden="1">1</definedName>
    <definedName name="solver_rel146" localSheetId="1" hidden="1">1</definedName>
    <definedName name="solver_rel147" localSheetId="1" hidden="1">1</definedName>
    <definedName name="solver_rel148" localSheetId="1" hidden="1">1</definedName>
    <definedName name="solver_rel149" localSheetId="1" hidden="1">1</definedName>
    <definedName name="solver_rel15" localSheetId="1" hidden="1">1</definedName>
    <definedName name="solver_rel150" localSheetId="1" hidden="1">1</definedName>
    <definedName name="solver_rel151" localSheetId="1" hidden="1">1</definedName>
    <definedName name="solver_rel152" localSheetId="1" hidden="1">4</definedName>
    <definedName name="solver_rel16" localSheetId="1" hidden="1">1</definedName>
    <definedName name="solver_rel17" localSheetId="1" hidden="1">1</definedName>
    <definedName name="solver_rel18" localSheetId="1" hidden="1">1</definedName>
    <definedName name="solver_rel19" localSheetId="1" hidden="1">1</definedName>
    <definedName name="solver_rel2" localSheetId="1" hidden="1">2</definedName>
    <definedName name="solver_rel20" localSheetId="1" hidden="1">3</definedName>
    <definedName name="solver_rel21" localSheetId="1" hidden="1">2</definedName>
    <definedName name="solver_rel22" localSheetId="1" hidden="1">2</definedName>
    <definedName name="solver_rel23" localSheetId="1" hidden="1">2</definedName>
    <definedName name="solver_rel24" localSheetId="1" hidden="1">2</definedName>
    <definedName name="solver_rel25" localSheetId="1" hidden="1">2</definedName>
    <definedName name="solver_rel26" localSheetId="1" hidden="1">2</definedName>
    <definedName name="solver_rel27" localSheetId="1" hidden="1">2</definedName>
    <definedName name="solver_rel28" localSheetId="1" hidden="1">2</definedName>
    <definedName name="solver_rel29" localSheetId="1" hidden="1">2</definedName>
    <definedName name="solver_rel3" localSheetId="1" hidden="1">2</definedName>
    <definedName name="solver_rel30" localSheetId="1" hidden="1">2</definedName>
    <definedName name="solver_rel31" localSheetId="1" hidden="1">2</definedName>
    <definedName name="solver_rel32" localSheetId="1" hidden="1">2</definedName>
    <definedName name="solver_rel33" localSheetId="1" hidden="1">1</definedName>
    <definedName name="solver_rel34" localSheetId="1" hidden="1">1</definedName>
    <definedName name="solver_rel35" localSheetId="1" hidden="1">1</definedName>
    <definedName name="solver_rel36" localSheetId="1" hidden="1">1</definedName>
    <definedName name="solver_rel37" localSheetId="1" hidden="1">1</definedName>
    <definedName name="solver_rel38" localSheetId="1" hidden="1">1</definedName>
    <definedName name="solver_rel39" localSheetId="1" hidden="1">1</definedName>
    <definedName name="solver_rel4" localSheetId="1" hidden="1">2</definedName>
    <definedName name="solver_rel40" localSheetId="1" hidden="1">1</definedName>
    <definedName name="solver_rel41" localSheetId="1" hidden="1">1</definedName>
    <definedName name="solver_rel42" localSheetId="1" hidden="1">1</definedName>
    <definedName name="solver_rel43" localSheetId="1" hidden="1">1</definedName>
    <definedName name="solver_rel44" localSheetId="1" hidden="1">1</definedName>
    <definedName name="solver_rel45" localSheetId="1" hidden="1">1</definedName>
    <definedName name="solver_rel46" localSheetId="1" hidden="1">1</definedName>
    <definedName name="solver_rel47" localSheetId="1" hidden="1">1</definedName>
    <definedName name="solver_rel48" localSheetId="1" hidden="1">1</definedName>
    <definedName name="solver_rel49" localSheetId="1" hidden="1">1</definedName>
    <definedName name="solver_rel5" localSheetId="1" hidden="1">2</definedName>
    <definedName name="solver_rel50" localSheetId="1" hidden="1">1</definedName>
    <definedName name="solver_rel51" localSheetId="1" hidden="1">1</definedName>
    <definedName name="solver_rel52" localSheetId="1" hidden="1">1</definedName>
    <definedName name="solver_rel53" localSheetId="1" hidden="1">1</definedName>
    <definedName name="solver_rel54" localSheetId="1" hidden="1">1</definedName>
    <definedName name="solver_rel55" localSheetId="1" hidden="1">1</definedName>
    <definedName name="solver_rel56" localSheetId="1" hidden="1">1</definedName>
    <definedName name="solver_rel57" localSheetId="1" hidden="1">1</definedName>
    <definedName name="solver_rel58" localSheetId="1" hidden="1">1</definedName>
    <definedName name="solver_rel59" localSheetId="1" hidden="1">1</definedName>
    <definedName name="solver_rel6" localSheetId="1" hidden="1">2</definedName>
    <definedName name="solver_rel60" localSheetId="1" hidden="1">1</definedName>
    <definedName name="solver_rel61" localSheetId="1" hidden="1">1</definedName>
    <definedName name="solver_rel62" localSheetId="1" hidden="1">1</definedName>
    <definedName name="solver_rel63" localSheetId="1" hidden="1">1</definedName>
    <definedName name="solver_rel64" localSheetId="1" hidden="1">1</definedName>
    <definedName name="solver_rel65" localSheetId="1" hidden="1">1</definedName>
    <definedName name="solver_rel66" localSheetId="1" hidden="1">1</definedName>
    <definedName name="solver_rel67" localSheetId="1" hidden="1">1</definedName>
    <definedName name="solver_rel68" localSheetId="1" hidden="1">1</definedName>
    <definedName name="solver_rel69" localSheetId="1" hidden="1">1</definedName>
    <definedName name="solver_rel7" localSheetId="1" hidden="1">2</definedName>
    <definedName name="solver_rel70" localSheetId="1" hidden="1">1</definedName>
    <definedName name="solver_rel71" localSheetId="1" hidden="1">1</definedName>
    <definedName name="solver_rel72" localSheetId="1" hidden="1">1</definedName>
    <definedName name="solver_rel73" localSheetId="1" hidden="1">1</definedName>
    <definedName name="solver_rel74" localSheetId="1" hidden="1">1</definedName>
    <definedName name="solver_rel75" localSheetId="1" hidden="1">1</definedName>
    <definedName name="solver_rel76" localSheetId="1" hidden="1">1</definedName>
    <definedName name="solver_rel77" localSheetId="1" hidden="1">2</definedName>
    <definedName name="solver_rel78" localSheetId="1" hidden="1">2</definedName>
    <definedName name="solver_rel79" localSheetId="1" hidden="1">2</definedName>
    <definedName name="solver_rel8" localSheetId="1" hidden="1">1</definedName>
    <definedName name="solver_rel80" localSheetId="1" hidden="1">2</definedName>
    <definedName name="solver_rel81" localSheetId="1" hidden="1">2</definedName>
    <definedName name="solver_rel82" localSheetId="1" hidden="1">2</definedName>
    <definedName name="solver_rel83" localSheetId="1" hidden="1">2</definedName>
    <definedName name="solver_rel84" localSheetId="1" hidden="1">1</definedName>
    <definedName name="solver_rel85" localSheetId="1" hidden="1">1</definedName>
    <definedName name="solver_rel86" localSheetId="1" hidden="1">1</definedName>
    <definedName name="solver_rel87" localSheetId="1" hidden="1">1</definedName>
    <definedName name="solver_rel88" localSheetId="1" hidden="1">1</definedName>
    <definedName name="solver_rel89" localSheetId="1" hidden="1">1</definedName>
    <definedName name="solver_rel9" localSheetId="1" hidden="1">1</definedName>
    <definedName name="solver_rel90" localSheetId="1" hidden="1">1</definedName>
    <definedName name="solver_rel91" localSheetId="1" hidden="1">1</definedName>
    <definedName name="solver_rel92" localSheetId="1" hidden="1">1</definedName>
    <definedName name="solver_rel93" localSheetId="1" hidden="1">1</definedName>
    <definedName name="solver_rel94" localSheetId="1" hidden="1">1</definedName>
    <definedName name="solver_rel95" localSheetId="1" hidden="1">4</definedName>
    <definedName name="solver_rel96" localSheetId="1" hidden="1">2</definedName>
    <definedName name="solver_rel97" localSheetId="1" hidden="1">2</definedName>
    <definedName name="solver_rel98" localSheetId="1" hidden="1">2</definedName>
    <definedName name="solver_rel99" localSheetId="1" hidden="1">2</definedName>
    <definedName name="solver_rhs1" localSheetId="1" hidden="1">Model!$Q$24</definedName>
    <definedName name="solver_rhs10" localSheetId="1" hidden="1">Model!$Q$33</definedName>
    <definedName name="solver_rhs100" localSheetId="1" hidden="1">Model!$Q$28</definedName>
    <definedName name="solver_rhs101" localSheetId="1" hidden="1">Model!$Q$29</definedName>
    <definedName name="solver_rhs102" localSheetId="1" hidden="1">Model!$Q$30</definedName>
    <definedName name="solver_rhs103" localSheetId="1" hidden="1">Model!$Q$31</definedName>
    <definedName name="solver_rhs104" localSheetId="1" hidden="1">Model!$Q$32</definedName>
    <definedName name="solver_rhs105" localSheetId="1" hidden="1">Model!$Q$33</definedName>
    <definedName name="solver_rhs106" localSheetId="1" hidden="1">Model!$Q$34</definedName>
    <definedName name="solver_rhs107" localSheetId="1" hidden="1">Model!$Q$35</definedName>
    <definedName name="solver_rhs108" localSheetId="1" hidden="1">Model!$Q$36</definedName>
    <definedName name="solver_rhs109" localSheetId="1" hidden="1">Model!$Q$37</definedName>
    <definedName name="solver_rhs11" localSheetId="1" hidden="1">Model!$Q$34</definedName>
    <definedName name="solver_rhs110" localSheetId="1" hidden="1">Model!$Q$38</definedName>
    <definedName name="solver_rhs111" localSheetId="1" hidden="1">Model!$Q$39</definedName>
    <definedName name="solver_rhs112" localSheetId="1" hidden="1">Model!$Q$40</definedName>
    <definedName name="solver_rhs113" localSheetId="1" hidden="1">Model!$Q$41</definedName>
    <definedName name="solver_rhs114" localSheetId="1" hidden="1">"integer"</definedName>
    <definedName name="solver_rhs115" localSheetId="1" hidden="1">Model!$Q$24</definedName>
    <definedName name="solver_rhs116" localSheetId="1" hidden="1">Model!$Q$25</definedName>
    <definedName name="solver_rhs117" localSheetId="1" hidden="1">Model!$Q$26</definedName>
    <definedName name="solver_rhs118" localSheetId="1" hidden="1">Model!$Q$27</definedName>
    <definedName name="solver_rhs119" localSheetId="1" hidden="1">Model!$Q$28</definedName>
    <definedName name="solver_rhs12" localSheetId="1" hidden="1">Model!$Q$35</definedName>
    <definedName name="solver_rhs120" localSheetId="1" hidden="1">Model!$Q$29</definedName>
    <definedName name="solver_rhs121" localSheetId="1" hidden="1">Model!$Q$30</definedName>
    <definedName name="solver_rhs122" localSheetId="1" hidden="1">Model!$Q$31</definedName>
    <definedName name="solver_rhs123" localSheetId="1" hidden="1">Model!$Q$32</definedName>
    <definedName name="solver_rhs124" localSheetId="1" hidden="1">Model!$Q$33</definedName>
    <definedName name="solver_rhs125" localSheetId="1" hidden="1">Model!$Q$34</definedName>
    <definedName name="solver_rhs126" localSheetId="1" hidden="1">Model!$Q$35</definedName>
    <definedName name="solver_rhs127" localSheetId="1" hidden="1">Model!$Q$36</definedName>
    <definedName name="solver_rhs128" localSheetId="1" hidden="1">Model!$Q$37</definedName>
    <definedName name="solver_rhs129" localSheetId="1" hidden="1">Model!$Q$38</definedName>
    <definedName name="solver_rhs13" localSheetId="1" hidden="1">Model!$Q$36</definedName>
    <definedName name="solver_rhs130" localSheetId="1" hidden="1">Model!$Q$39</definedName>
    <definedName name="solver_rhs131" localSheetId="1" hidden="1">Model!$Q$40</definedName>
    <definedName name="solver_rhs132" localSheetId="1" hidden="1">Model!$Q$41</definedName>
    <definedName name="solver_rhs133" localSheetId="1" hidden="1">"integer"</definedName>
    <definedName name="solver_rhs134" localSheetId="1" hidden="1">Model!$Q$24</definedName>
    <definedName name="solver_rhs135" localSheetId="1" hidden="1">Model!$Q$25</definedName>
    <definedName name="solver_rhs136" localSheetId="1" hidden="1">Model!$Q$26</definedName>
    <definedName name="solver_rhs137" localSheetId="1" hidden="1">Model!$Q$27</definedName>
    <definedName name="solver_rhs138" localSheetId="1" hidden="1">Model!$Q$28</definedName>
    <definedName name="solver_rhs139" localSheetId="1" hidden="1">Model!$Q$29</definedName>
    <definedName name="solver_rhs14" localSheetId="1" hidden="1">Model!$Q$37</definedName>
    <definedName name="solver_rhs140" localSheetId="1" hidden="1">Model!$Q$30</definedName>
    <definedName name="solver_rhs141" localSheetId="1" hidden="1">Model!$Q$31</definedName>
    <definedName name="solver_rhs142" localSheetId="1" hidden="1">Model!$Q$32</definedName>
    <definedName name="solver_rhs143" localSheetId="1" hidden="1">Model!$Q$33</definedName>
    <definedName name="solver_rhs144" localSheetId="1" hidden="1">Model!$Q$34</definedName>
    <definedName name="solver_rhs145" localSheetId="1" hidden="1">Model!$Q$35</definedName>
    <definedName name="solver_rhs146" localSheetId="1" hidden="1">Model!$Q$36</definedName>
    <definedName name="solver_rhs147" localSheetId="1" hidden="1">Model!$Q$37</definedName>
    <definedName name="solver_rhs148" localSheetId="1" hidden="1">Model!$Q$38</definedName>
    <definedName name="solver_rhs149" localSheetId="1" hidden="1">Model!$Q$39</definedName>
    <definedName name="solver_rhs15" localSheetId="1" hidden="1">Model!$Q$38</definedName>
    <definedName name="solver_rhs150" localSheetId="1" hidden="1">Model!$Q$40</definedName>
    <definedName name="solver_rhs151" localSheetId="1" hidden="1">Model!$Q$41</definedName>
    <definedName name="solver_rhs152" localSheetId="1" hidden="1">"integer"</definedName>
    <definedName name="solver_rhs16" localSheetId="1" hidden="1">Model!$Q$39</definedName>
    <definedName name="solver_rhs17" localSheetId="1" hidden="1">Model!$Q$40</definedName>
    <definedName name="solver_rhs18" localSheetId="1" hidden="1">Model!$Q$41</definedName>
    <definedName name="solver_rhs19" localSheetId="1" hidden="1">Model!$Q$41</definedName>
    <definedName name="solver_rhs2" localSheetId="1" hidden="1">Model!$Q$25</definedName>
    <definedName name="solver_rhs20" localSheetId="1" hidden="1">Model!$Q$26</definedName>
    <definedName name="solver_rhs21" localSheetId="1" hidden="1">Model!$Q$28</definedName>
    <definedName name="solver_rhs22" localSheetId="1" hidden="1">Model!$Q$28</definedName>
    <definedName name="solver_rhs23" localSheetId="1" hidden="1">Model!$Q$28</definedName>
    <definedName name="solver_rhs24" localSheetId="1" hidden="1">Model!$Q$28</definedName>
    <definedName name="solver_rhs25" localSheetId="1" hidden="1">Model!$Q$29</definedName>
    <definedName name="solver_rhs26" localSheetId="1" hidden="1">Model!$Q$29</definedName>
    <definedName name="solver_rhs27" localSheetId="1" hidden="1">Model!$Q$29</definedName>
    <definedName name="solver_rhs28" localSheetId="1" hidden="1">Model!$Q$29</definedName>
    <definedName name="solver_rhs29" localSheetId="1" hidden="1">Model!$Q$30</definedName>
    <definedName name="solver_rhs3" localSheetId="1" hidden="1">Model!$Q$26</definedName>
    <definedName name="solver_rhs30" localSheetId="1" hidden="1">Model!$Q$30</definedName>
    <definedName name="solver_rhs31" localSheetId="1" hidden="1">Model!$Q$30</definedName>
    <definedName name="solver_rhs32" localSheetId="1" hidden="1">Model!$Q$30</definedName>
    <definedName name="solver_rhs33" localSheetId="1" hidden="1">Model!$Q$31</definedName>
    <definedName name="solver_rhs34" localSheetId="1" hidden="1">Model!$Q$31</definedName>
    <definedName name="solver_rhs35" localSheetId="1" hidden="1">Model!$Q$31</definedName>
    <definedName name="solver_rhs36" localSheetId="1" hidden="1">Model!$Q$31</definedName>
    <definedName name="solver_rhs37" localSheetId="1" hidden="1">Model!$Q$32</definedName>
    <definedName name="solver_rhs38" localSheetId="1" hidden="1">Model!$Q$32</definedName>
    <definedName name="solver_rhs39" localSheetId="1" hidden="1">Model!$Q$32</definedName>
    <definedName name="solver_rhs4" localSheetId="1" hidden="1">Model!$Q$27</definedName>
    <definedName name="solver_rhs40" localSheetId="1" hidden="1">Model!$Q$32</definedName>
    <definedName name="solver_rhs41" localSheetId="1" hidden="1">Model!$Q$33</definedName>
    <definedName name="solver_rhs42" localSheetId="1" hidden="1">Model!$Q$33</definedName>
    <definedName name="solver_rhs43" localSheetId="1" hidden="1">Model!$Q$33</definedName>
    <definedName name="solver_rhs44" localSheetId="1" hidden="1">Model!$Q$33</definedName>
    <definedName name="solver_rhs45" localSheetId="1" hidden="1">Model!$Q$34</definedName>
    <definedName name="solver_rhs46" localSheetId="1" hidden="1">Model!$Q$34</definedName>
    <definedName name="solver_rhs47" localSheetId="1" hidden="1">Model!$Q$34</definedName>
    <definedName name="solver_rhs48" localSheetId="1" hidden="1">Model!$Q$34</definedName>
    <definedName name="solver_rhs49" localSheetId="1" hidden="1">Model!$Q$35</definedName>
    <definedName name="solver_rhs5" localSheetId="1" hidden="1">Model!$Q$28</definedName>
    <definedName name="solver_rhs50" localSheetId="1" hidden="1">Model!$Q$35</definedName>
    <definedName name="solver_rhs51" localSheetId="1" hidden="1">Model!$Q$35</definedName>
    <definedName name="solver_rhs52" localSheetId="1" hidden="1">Model!$Q$35</definedName>
    <definedName name="solver_rhs53" localSheetId="1" hidden="1">Model!$Q$36</definedName>
    <definedName name="solver_rhs54" localSheetId="1" hidden="1">Model!$Q$36</definedName>
    <definedName name="solver_rhs55" localSheetId="1" hidden="1">Model!$Q$36</definedName>
    <definedName name="solver_rhs56" localSheetId="1" hidden="1">Model!$Q$36</definedName>
    <definedName name="solver_rhs57" localSheetId="1" hidden="1">Model!$Q$37</definedName>
    <definedName name="solver_rhs58" localSheetId="1" hidden="1">Model!$Q$37</definedName>
    <definedName name="solver_rhs59" localSheetId="1" hidden="1">Model!$Q$37</definedName>
    <definedName name="solver_rhs6" localSheetId="1" hidden="1">Model!$Q$29</definedName>
    <definedName name="solver_rhs60" localSheetId="1" hidden="1">Model!$Q$37</definedName>
    <definedName name="solver_rhs61" localSheetId="1" hidden="1">Model!$Q$38</definedName>
    <definedName name="solver_rhs62" localSheetId="1" hidden="1">Model!$Q$38</definedName>
    <definedName name="solver_rhs63" localSheetId="1" hidden="1">Model!$Q$38</definedName>
    <definedName name="solver_rhs64" localSheetId="1" hidden="1">Model!$Q$38</definedName>
    <definedName name="solver_rhs65" localSheetId="1" hidden="1">Model!$Q$39</definedName>
    <definedName name="solver_rhs66" localSheetId="1" hidden="1">Model!$Q$39</definedName>
    <definedName name="solver_rhs67" localSheetId="1" hidden="1">Model!$Q$39</definedName>
    <definedName name="solver_rhs68" localSheetId="1" hidden="1">Model!$Q$39</definedName>
    <definedName name="solver_rhs69" localSheetId="1" hidden="1">Model!$Q$40</definedName>
    <definedName name="solver_rhs7" localSheetId="1" hidden="1">Model!$Q$30</definedName>
    <definedName name="solver_rhs70" localSheetId="1" hidden="1">Model!$Q$40</definedName>
    <definedName name="solver_rhs71" localSheetId="1" hidden="1">Model!$Q$40</definedName>
    <definedName name="solver_rhs72" localSheetId="1" hidden="1">Model!$Q$40</definedName>
    <definedName name="solver_rhs73" localSheetId="1" hidden="1">Model!$Q$41</definedName>
    <definedName name="solver_rhs74" localSheetId="1" hidden="1">Model!$Q$41</definedName>
    <definedName name="solver_rhs75" localSheetId="1" hidden="1">Model!$Q$41</definedName>
    <definedName name="solver_rhs76" localSheetId="1" hidden="1">Model!$Q$41</definedName>
    <definedName name="solver_rhs77" localSheetId="1" hidden="1">Model!$Q$24</definedName>
    <definedName name="solver_rhs78" localSheetId="1" hidden="1">Model!$Q$25</definedName>
    <definedName name="solver_rhs79" localSheetId="1" hidden="1">Model!$Q$26</definedName>
    <definedName name="solver_rhs8" localSheetId="1" hidden="1">Model!$Q$31</definedName>
    <definedName name="solver_rhs80" localSheetId="1" hidden="1">Model!$Q$27</definedName>
    <definedName name="solver_rhs81" localSheetId="1" hidden="1">Model!$Q$28</definedName>
    <definedName name="solver_rhs82" localSheetId="1" hidden="1">Model!$Q$29</definedName>
    <definedName name="solver_rhs83" localSheetId="1" hidden="1">Model!$Q$30</definedName>
    <definedName name="solver_rhs84" localSheetId="1" hidden="1">Model!$Q$31</definedName>
    <definedName name="solver_rhs85" localSheetId="1" hidden="1">Model!$Q$32</definedName>
    <definedName name="solver_rhs86" localSheetId="1" hidden="1">Model!$Q$33</definedName>
    <definedName name="solver_rhs87" localSheetId="1" hidden="1">Model!$Q$34</definedName>
    <definedName name="solver_rhs88" localSheetId="1" hidden="1">Model!$Q$35</definedName>
    <definedName name="solver_rhs89" localSheetId="1" hidden="1">Model!$Q$36</definedName>
    <definedName name="solver_rhs9" localSheetId="1" hidden="1">Model!$Q$32</definedName>
    <definedName name="solver_rhs90" localSheetId="1" hidden="1">Model!$Q$37</definedName>
    <definedName name="solver_rhs91" localSheetId="1" hidden="1">Model!$Q$38</definedName>
    <definedName name="solver_rhs92" localSheetId="1" hidden="1">Model!$Q$39</definedName>
    <definedName name="solver_rhs93" localSheetId="1" hidden="1">Model!$Q$40</definedName>
    <definedName name="solver_rhs94" localSheetId="1" hidden="1">Model!$Q$41</definedName>
    <definedName name="solver_rhs95" localSheetId="1" hidden="1">"integer"</definedName>
    <definedName name="solver_rhs96" localSheetId="1" hidden="1">Model!$Q$24</definedName>
    <definedName name="solver_rhs97" localSheetId="1" hidden="1">Model!$Q$25</definedName>
    <definedName name="solver_rhs98" localSheetId="1" hidden="1">Model!$Q$26</definedName>
    <definedName name="solver_rhs99" localSheetId="1" hidden="1">Model!$Q$27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9" i="2" l="1"/>
  <c r="H6" i="2"/>
  <c r="C7" i="2"/>
  <c r="C6" i="2"/>
  <c r="O21" i="2"/>
  <c r="Q40" i="2" l="1"/>
  <c r="Q25" i="2"/>
  <c r="J27" i="1"/>
  <c r="Q28" i="2"/>
  <c r="J23" i="1"/>
  <c r="J22" i="1"/>
  <c r="Q29" i="2"/>
  <c r="I21" i="2"/>
  <c r="J21" i="2"/>
  <c r="J26" i="1"/>
  <c r="J24" i="1"/>
  <c r="J25" i="1"/>
  <c r="J19" i="1"/>
  <c r="J17" i="1"/>
  <c r="J15" i="1"/>
  <c r="J14" i="1"/>
  <c r="J13" i="1"/>
  <c r="J10" i="1"/>
  <c r="M21" i="2"/>
  <c r="L21" i="2"/>
  <c r="K21" i="2"/>
  <c r="G21" i="2"/>
  <c r="Q30" i="2"/>
  <c r="Q31" i="2"/>
  <c r="Q26" i="2"/>
  <c r="H21" i="2"/>
  <c r="F21" i="2"/>
  <c r="E21" i="2"/>
  <c r="D21" i="2"/>
  <c r="O26" i="2"/>
  <c r="O27" i="2"/>
  <c r="O28" i="2"/>
  <c r="O29" i="2"/>
  <c r="O30" i="2"/>
  <c r="O31" i="2"/>
  <c r="P12" i="2" s="1"/>
  <c r="O32" i="2"/>
  <c r="S32" i="2" s="1"/>
  <c r="O33" i="2"/>
  <c r="S33" i="2" s="1"/>
  <c r="O34" i="2"/>
  <c r="S34" i="2" s="1"/>
  <c r="O35" i="2"/>
  <c r="S35" i="2" s="1"/>
  <c r="O36" i="2"/>
  <c r="S36" i="2" s="1"/>
  <c r="O37" i="2"/>
  <c r="S37" i="2" s="1"/>
  <c r="O38" i="2"/>
  <c r="S38" i="2" s="1"/>
  <c r="O39" i="2"/>
  <c r="S39" i="2" s="1"/>
  <c r="O40" i="2"/>
  <c r="S40" i="2" s="1"/>
  <c r="O41" i="2"/>
  <c r="S41" i="2" s="1"/>
  <c r="O24" i="2"/>
  <c r="O25" i="2"/>
  <c r="P9" i="2" l="1"/>
  <c r="Q24" i="2"/>
  <c r="P10" i="2"/>
  <c r="P11" i="2"/>
  <c r="P6" i="2"/>
  <c r="P7" i="2"/>
  <c r="Q33" i="2"/>
  <c r="R33" i="2" s="1"/>
  <c r="Q34" i="2"/>
  <c r="R34" i="2" s="1"/>
  <c r="Q41" i="2"/>
  <c r="R41" i="2" s="1"/>
  <c r="Q27" i="2"/>
  <c r="Q32" i="2"/>
  <c r="R32" i="2" s="1"/>
  <c r="Q36" i="2"/>
  <c r="R36" i="2" s="1"/>
  <c r="Q35" i="2"/>
  <c r="R35" i="2" s="1"/>
  <c r="R39" i="2"/>
  <c r="Q38" i="2"/>
  <c r="R38" i="2" s="1"/>
  <c r="Q37" i="2"/>
  <c r="R37" i="2" s="1"/>
  <c r="R40" i="2"/>
  <c r="P5" i="2" l="1"/>
</calcChain>
</file>

<file path=xl/sharedStrings.xml><?xml version="1.0" encoding="utf-8"?>
<sst xmlns="http://schemas.openxmlformats.org/spreadsheetml/2006/main" count="159" uniqueCount="130">
  <si>
    <t>Tasks</t>
  </si>
  <si>
    <r>
      <t>Values for X, Y, V, A, B, C, D, E, F, G, k</t>
    </r>
    <r>
      <rPr>
        <b/>
        <vertAlign val="subscript"/>
        <sz val="11"/>
        <color theme="1"/>
        <rFont val="Aptos Narrow"/>
        <family val="2"/>
        <scheme val="minor"/>
      </rPr>
      <t>1</t>
    </r>
    <r>
      <rPr>
        <b/>
        <sz val="11"/>
        <color theme="1"/>
        <rFont val="Aptos Narrow"/>
        <family val="2"/>
        <scheme val="minor"/>
      </rPr>
      <t>, k</t>
    </r>
    <r>
      <rPr>
        <b/>
        <vertAlign val="subscript"/>
        <sz val="11"/>
        <color theme="1"/>
        <rFont val="Aptos Narrow"/>
        <family val="2"/>
        <scheme val="minor"/>
      </rPr>
      <t>2</t>
    </r>
    <r>
      <rPr>
        <b/>
        <sz val="11"/>
        <color theme="1"/>
        <rFont val="Aptos Narrow"/>
        <family val="2"/>
        <scheme val="minor"/>
      </rPr>
      <t>, k</t>
    </r>
    <r>
      <rPr>
        <b/>
        <vertAlign val="subscript"/>
        <sz val="11"/>
        <color theme="1"/>
        <rFont val="Aptos Narrow"/>
        <family val="2"/>
        <scheme val="minor"/>
      </rPr>
      <t>3</t>
    </r>
    <r>
      <rPr>
        <b/>
        <sz val="11"/>
        <color theme="1"/>
        <rFont val="Aptos Narrow"/>
        <family val="2"/>
        <scheme val="minor"/>
      </rPr>
      <t>, k</t>
    </r>
    <r>
      <rPr>
        <b/>
        <vertAlign val="subscript"/>
        <sz val="11"/>
        <color theme="1"/>
        <rFont val="Aptos Narrow"/>
        <family val="2"/>
        <scheme val="minor"/>
      </rPr>
      <t>4</t>
    </r>
    <r>
      <rPr>
        <b/>
        <sz val="11"/>
        <color theme="1"/>
        <rFont val="Aptos Narrow"/>
        <family val="2"/>
        <scheme val="minor"/>
      </rPr>
      <t>, k</t>
    </r>
    <r>
      <rPr>
        <b/>
        <vertAlign val="subscript"/>
        <sz val="11"/>
        <color theme="1"/>
        <rFont val="Aptos Narrow"/>
        <family val="2"/>
        <scheme val="minor"/>
      </rPr>
      <t>5</t>
    </r>
    <r>
      <rPr>
        <b/>
        <sz val="11"/>
        <color theme="1"/>
        <rFont val="Aptos Narrow"/>
        <family val="2"/>
        <scheme val="minor"/>
      </rPr>
      <t>,</t>
    </r>
    <r>
      <rPr>
        <b/>
        <vertAlign val="superscript"/>
        <sz val="11"/>
        <color theme="1"/>
        <rFont val="Aptos Narrow"/>
        <family val="2"/>
        <scheme val="minor"/>
      </rPr>
      <t xml:space="preserve"> </t>
    </r>
    <r>
      <rPr>
        <b/>
        <sz val="11"/>
        <color theme="1"/>
        <rFont val="Aptos Narrow"/>
        <family val="2"/>
        <scheme val="minor"/>
      </rPr>
      <t>k</t>
    </r>
    <r>
      <rPr>
        <b/>
        <vertAlign val="subscript"/>
        <sz val="11"/>
        <color theme="1"/>
        <rFont val="Aptos Narrow"/>
        <family val="2"/>
        <scheme val="minor"/>
      </rPr>
      <t>6</t>
    </r>
    <r>
      <rPr>
        <b/>
        <sz val="11"/>
        <color theme="1"/>
        <rFont val="Aptos Narrow"/>
        <family val="2"/>
        <scheme val="minor"/>
      </rPr>
      <t>, k</t>
    </r>
    <r>
      <rPr>
        <b/>
        <vertAlign val="subscript"/>
        <sz val="11"/>
        <color theme="1"/>
        <rFont val="Aptos Narrow"/>
        <family val="2"/>
        <scheme val="minor"/>
      </rPr>
      <t>7,</t>
    </r>
    <r>
      <rPr>
        <b/>
        <sz val="11"/>
        <color theme="1"/>
        <rFont val="Aptos Narrow"/>
        <family val="2"/>
        <scheme val="minor"/>
      </rPr>
      <t xml:space="preserve"> k</t>
    </r>
    <r>
      <rPr>
        <b/>
        <vertAlign val="subscript"/>
        <sz val="11"/>
        <color theme="1"/>
        <rFont val="Aptos Narrow"/>
        <family val="2"/>
        <scheme val="minor"/>
      </rPr>
      <t>8</t>
    </r>
    <r>
      <rPr>
        <b/>
        <sz val="11"/>
        <color theme="1"/>
        <rFont val="Aptos Narrow"/>
        <family val="2"/>
        <scheme val="minor"/>
      </rPr>
      <t>, k</t>
    </r>
    <r>
      <rPr>
        <b/>
        <vertAlign val="subscript"/>
        <sz val="11"/>
        <color theme="1"/>
        <rFont val="Aptos Narrow"/>
        <family val="2"/>
        <scheme val="minor"/>
      </rPr>
      <t>9</t>
    </r>
    <r>
      <rPr>
        <b/>
        <sz val="11"/>
        <color theme="1"/>
        <rFont val="Aptos Narrow"/>
        <family val="2"/>
        <scheme val="minor"/>
      </rPr>
      <t xml:space="preserve"> and K</t>
    </r>
    <r>
      <rPr>
        <b/>
        <vertAlign val="subscript"/>
        <sz val="11"/>
        <color theme="1"/>
        <rFont val="Aptos Narrow"/>
        <family val="2"/>
        <scheme val="minor"/>
      </rPr>
      <t>10</t>
    </r>
  </si>
  <si>
    <t xml:space="preserve">Amounts transported from plants </t>
  </si>
  <si>
    <t>Fleet - Abbey</t>
  </si>
  <si>
    <t>Black - Abbey</t>
  </si>
  <si>
    <t>X</t>
  </si>
  <si>
    <t>A</t>
  </si>
  <si>
    <r>
      <t>k</t>
    </r>
    <r>
      <rPr>
        <vertAlign val="subscript"/>
        <sz val="11"/>
        <color theme="1"/>
        <rFont val="Aptos Narrow"/>
        <family val="2"/>
        <scheme val="minor"/>
      </rPr>
      <t>1</t>
    </r>
  </si>
  <si>
    <r>
      <t>k</t>
    </r>
    <r>
      <rPr>
        <vertAlign val="subscript"/>
        <sz val="11"/>
        <color theme="1"/>
        <rFont val="Aptos Narrow"/>
        <family val="2"/>
        <scheme val="minor"/>
      </rPr>
      <t>6</t>
    </r>
  </si>
  <si>
    <t>to warehouses, in whole cases</t>
  </si>
  <si>
    <t>Fleet - Barn</t>
  </si>
  <si>
    <t>Black - Barn</t>
  </si>
  <si>
    <t>Y</t>
  </si>
  <si>
    <t>B</t>
  </si>
  <si>
    <r>
      <t>k</t>
    </r>
    <r>
      <rPr>
        <vertAlign val="subscript"/>
        <sz val="11"/>
        <color theme="1"/>
        <rFont val="Aptos Narrow"/>
        <family val="2"/>
        <scheme val="minor"/>
      </rPr>
      <t>2</t>
    </r>
  </si>
  <si>
    <r>
      <t>k</t>
    </r>
    <r>
      <rPr>
        <vertAlign val="subscript"/>
        <sz val="11"/>
        <color theme="1"/>
        <rFont val="Aptos Narrow"/>
        <family val="2"/>
        <scheme val="minor"/>
      </rPr>
      <t>7</t>
    </r>
  </si>
  <si>
    <t>Fleet - Cobb</t>
  </si>
  <si>
    <t>Black - Cobb</t>
  </si>
  <si>
    <t>V</t>
  </si>
  <si>
    <t>C</t>
  </si>
  <si>
    <r>
      <t>k</t>
    </r>
    <r>
      <rPr>
        <vertAlign val="subscript"/>
        <sz val="11"/>
        <color theme="1"/>
        <rFont val="Aptos Narrow"/>
        <family val="2"/>
        <scheme val="minor"/>
      </rPr>
      <t>3</t>
    </r>
  </si>
  <si>
    <r>
      <t>k</t>
    </r>
    <r>
      <rPr>
        <vertAlign val="subscript"/>
        <sz val="11"/>
        <color theme="1"/>
        <rFont val="Aptos Narrow"/>
        <family val="2"/>
        <scheme val="minor"/>
      </rPr>
      <t>8</t>
    </r>
  </si>
  <si>
    <t>Fleet - Dalby</t>
  </si>
  <si>
    <t>Black - Dalby</t>
  </si>
  <si>
    <t>D</t>
  </si>
  <si>
    <r>
      <t>k</t>
    </r>
    <r>
      <rPr>
        <vertAlign val="subscript"/>
        <sz val="11"/>
        <color theme="1"/>
        <rFont val="Aptos Narrow"/>
        <family val="2"/>
        <scheme val="minor"/>
      </rPr>
      <t>4</t>
    </r>
  </si>
  <si>
    <r>
      <t>k</t>
    </r>
    <r>
      <rPr>
        <vertAlign val="subscript"/>
        <sz val="11"/>
        <color theme="1"/>
        <rFont val="Aptos Narrow"/>
        <family val="2"/>
        <scheme val="minor"/>
      </rPr>
      <t>9</t>
    </r>
    <r>
      <rPr>
        <sz val="12"/>
        <color theme="1"/>
        <rFont val="Arial"/>
        <family val="2"/>
      </rPr>
      <t/>
    </r>
  </si>
  <si>
    <t>Fleet - Enya</t>
  </si>
  <si>
    <t>Black - Enya</t>
  </si>
  <si>
    <t>E</t>
  </si>
  <si>
    <r>
      <t>k</t>
    </r>
    <r>
      <rPr>
        <vertAlign val="subscript"/>
        <sz val="11"/>
        <color theme="1"/>
        <rFont val="Aptos Narrow"/>
        <family val="2"/>
        <scheme val="minor"/>
      </rPr>
      <t>5</t>
    </r>
  </si>
  <si>
    <r>
      <t>k</t>
    </r>
    <r>
      <rPr>
        <vertAlign val="subscript"/>
        <sz val="11"/>
        <color theme="1"/>
        <rFont val="Aptos Narrow"/>
        <family val="2"/>
        <scheme val="minor"/>
      </rPr>
      <t>10</t>
    </r>
    <r>
      <rPr>
        <sz val="12"/>
        <color theme="1"/>
        <rFont val="Arial"/>
        <family val="2"/>
      </rPr>
      <t/>
    </r>
  </si>
  <si>
    <t>F</t>
  </si>
  <si>
    <t>Minimum distribution cost (week 1)</t>
  </si>
  <si>
    <t>G</t>
  </si>
  <si>
    <t>How many cases are leftover to sell in the local market?</t>
  </si>
  <si>
    <t>Which port will they be sold in?</t>
  </si>
  <si>
    <t>Distribution costs from Fleet</t>
  </si>
  <si>
    <t xml:space="preserve"> User Notes</t>
  </si>
  <si>
    <t>Distribution costs from Black</t>
  </si>
  <si>
    <t xml:space="preserve"> This sheet is where all answers are to be presented</t>
  </si>
  <si>
    <t>Increased demand at Abbey - new minimum cost</t>
  </si>
  <si>
    <r>
      <rPr>
        <b/>
        <sz val="11"/>
        <rFont val="Aptos Narrow"/>
        <family val="2"/>
        <scheme val="minor"/>
      </rPr>
      <t xml:space="preserve"> Do not</t>
    </r>
    <r>
      <rPr>
        <sz val="11"/>
        <rFont val="Aptos Narrow"/>
        <family val="2"/>
        <scheme val="minor"/>
      </rPr>
      <t xml:space="preserve"> insert or remove any columns or rows on this sheet</t>
    </r>
  </si>
  <si>
    <t xml:space="preserve"> All answers must be based on your specific dataset code</t>
  </si>
  <si>
    <t>Increased demand at Barn - new minimum cost</t>
  </si>
  <si>
    <t>Increased demand at both Abbey and Barn - new minimum cost</t>
  </si>
  <si>
    <t>dataset code:</t>
  </si>
  <si>
    <t>How many active vehicles would be at half capacity or less?</t>
  </si>
  <si>
    <t>Submitted by:</t>
  </si>
  <si>
    <t>a) Change in distribution cost if up to two journeys allowed (week 1 demand)</t>
  </si>
  <si>
    <t>b) Change in distribution cost if up to two journeys allowed (week 4 demand)</t>
  </si>
  <si>
    <t>a) Costs of distribution if Fleet is closed (week1 demand)</t>
  </si>
  <si>
    <t>b) Costs of distribution if Fleet is closed (week 4 demand)</t>
  </si>
  <si>
    <t>a) Costs of distribution if Black is closed (week 1 demand)</t>
  </si>
  <si>
    <t>b) Costs of distribution if Black is closed (week 4 demand)</t>
  </si>
  <si>
    <t>Suggested flat rate transportation costs from Black</t>
  </si>
  <si>
    <t>Model for BirdsEye Problem</t>
  </si>
  <si>
    <t>Decision Variables:</t>
  </si>
  <si>
    <t>Values:</t>
  </si>
  <si>
    <t>Coefficients:</t>
  </si>
  <si>
    <t>Fleet-&gt; Abbey</t>
  </si>
  <si>
    <t>Fleet-&gt;Cobb</t>
  </si>
  <si>
    <t>Fleet-&gt;Dalby</t>
  </si>
  <si>
    <t>Fleet-&gt;Enya</t>
  </si>
  <si>
    <t>Black-&gt;Abbey</t>
  </si>
  <si>
    <t>Black-&gt;Barn</t>
  </si>
  <si>
    <t>Fleet-&gt;Barn</t>
  </si>
  <si>
    <t>Black-&gt;Cobb</t>
  </si>
  <si>
    <t>Black-&gt;Dalby</t>
  </si>
  <si>
    <t>Black-&gt;Enya</t>
  </si>
  <si>
    <t>Min:</t>
  </si>
  <si>
    <t>Objective Function:</t>
  </si>
  <si>
    <t>Constraints:</t>
  </si>
  <si>
    <t>Cases of fishes per week from Fleet</t>
  </si>
  <si>
    <t>Cases of fishes per week from Black</t>
  </si>
  <si>
    <t>Road Closure</t>
  </si>
  <si>
    <t>Abbey's Demand</t>
  </si>
  <si>
    <t>Barn's Demand</t>
  </si>
  <si>
    <t>Cobb's Demand</t>
  </si>
  <si>
    <t>Dalby's Demand</t>
  </si>
  <si>
    <t>Enya's Demand</t>
  </si>
  <si>
    <t>Capacity of the Truck from Fleet-&gt;Abbey</t>
  </si>
  <si>
    <t>Capacity of the Truck from Fleet-&gt;Barn</t>
  </si>
  <si>
    <t>Capacity of the Truck from Fleet-&gt;Cobb</t>
  </si>
  <si>
    <t>Capacity of the Truck from Fleet-&gt;Dalby</t>
  </si>
  <si>
    <t>Capacity of the Truck from Fleet-&gt;Enya</t>
  </si>
  <si>
    <t>Capacity of the Truck from Black-&gt;Abbey</t>
  </si>
  <si>
    <t>Capacity of the Truck from Black-&gt;Barn</t>
  </si>
  <si>
    <t>Capacity of the Truck from Black-&gt;Cobb</t>
  </si>
  <si>
    <t>Capacity of the Truck from Black-&gt;Dalby</t>
  </si>
  <si>
    <t>Capacity of the Truck from Black-&gt;Enya</t>
  </si>
  <si>
    <t>RHS</t>
  </si>
  <si>
    <t>=</t>
  </si>
  <si>
    <t>&lt;=</t>
  </si>
  <si>
    <t>Supply:</t>
  </si>
  <si>
    <t>Fleet</t>
  </si>
  <si>
    <t>Black</t>
  </si>
  <si>
    <t>Demand:</t>
  </si>
  <si>
    <t>Abbey</t>
  </si>
  <si>
    <t>Barn</t>
  </si>
  <si>
    <t>Cobb</t>
  </si>
  <si>
    <t>Dalby</t>
  </si>
  <si>
    <t>Enya</t>
  </si>
  <si>
    <t>Prices</t>
  </si>
  <si>
    <t>Total Leftovers</t>
  </si>
  <si>
    <t>Fleet Leftovers</t>
  </si>
  <si>
    <t>Black Leftovers</t>
  </si>
  <si>
    <r>
      <t>f</t>
    </r>
    <r>
      <rPr>
        <b/>
        <vertAlign val="subscript"/>
        <sz val="11"/>
        <color theme="1"/>
        <rFont val="Aptos Narrow (Body)"/>
      </rPr>
      <t>A</t>
    </r>
  </si>
  <si>
    <r>
      <t>f</t>
    </r>
    <r>
      <rPr>
        <b/>
        <vertAlign val="subscript"/>
        <sz val="11"/>
        <color theme="1"/>
        <rFont val="Aptos Narrow (Body)"/>
      </rPr>
      <t>B</t>
    </r>
  </si>
  <si>
    <r>
      <t>f</t>
    </r>
    <r>
      <rPr>
        <b/>
        <vertAlign val="subscript"/>
        <sz val="11"/>
        <color theme="1"/>
        <rFont val="Aptos Narrow (Body)"/>
      </rPr>
      <t>C</t>
    </r>
  </si>
  <si>
    <r>
      <t>f</t>
    </r>
    <r>
      <rPr>
        <b/>
        <vertAlign val="subscript"/>
        <sz val="11"/>
        <color theme="1"/>
        <rFont val="Aptos Narrow (Body)"/>
      </rPr>
      <t>D</t>
    </r>
  </si>
  <si>
    <r>
      <t>f</t>
    </r>
    <r>
      <rPr>
        <b/>
        <vertAlign val="subscript"/>
        <sz val="11"/>
        <color theme="1"/>
        <rFont val="Aptos Narrow (Body)"/>
      </rPr>
      <t>E</t>
    </r>
  </si>
  <si>
    <r>
      <t>b</t>
    </r>
    <r>
      <rPr>
        <b/>
        <vertAlign val="subscript"/>
        <sz val="11"/>
        <color theme="1"/>
        <rFont val="Aptos Narrow (Body)"/>
      </rPr>
      <t>A</t>
    </r>
  </si>
  <si>
    <r>
      <t>b</t>
    </r>
    <r>
      <rPr>
        <b/>
        <vertAlign val="subscript"/>
        <sz val="11"/>
        <color theme="1"/>
        <rFont val="Aptos Narrow (Body)"/>
      </rPr>
      <t>B</t>
    </r>
  </si>
  <si>
    <r>
      <t>b</t>
    </r>
    <r>
      <rPr>
        <b/>
        <vertAlign val="subscript"/>
        <sz val="11"/>
        <color theme="1"/>
        <rFont val="Aptos Narrow (Body)"/>
      </rPr>
      <t>C</t>
    </r>
  </si>
  <si>
    <r>
      <t>b</t>
    </r>
    <r>
      <rPr>
        <b/>
        <vertAlign val="subscript"/>
        <sz val="11"/>
        <color theme="1"/>
        <rFont val="Aptos Narrow (Body)"/>
      </rPr>
      <t>D</t>
    </r>
  </si>
  <si>
    <r>
      <t>b</t>
    </r>
    <r>
      <rPr>
        <b/>
        <vertAlign val="subscript"/>
        <sz val="11"/>
        <color theme="1"/>
        <rFont val="Aptos Narrow (Body)"/>
      </rPr>
      <t>E</t>
    </r>
  </si>
  <si>
    <t>Enya's Shortage</t>
  </si>
  <si>
    <t>Half Capacity</t>
  </si>
  <si>
    <t>Active</t>
  </si>
  <si>
    <t>Result</t>
  </si>
  <si>
    <t>Inputs</t>
  </si>
  <si>
    <t>Outputs</t>
  </si>
  <si>
    <t>Minimum Distribution Cost:</t>
  </si>
  <si>
    <t>Minimum Distribution Cost (Fleet):</t>
  </si>
  <si>
    <t>Minimum Distribution Cost (Black):</t>
  </si>
  <si>
    <t>Leftovers/Shortage</t>
  </si>
  <si>
    <t>Flat rate for Black:</t>
  </si>
  <si>
    <t>Note: Changing values in the input section auto applies changes to the model</t>
  </si>
  <si>
    <t>Truck Capacity per Journey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</si>
</sst>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27" x14ac:knownFonts="1">
    <font>
      <sz val="11"/>
      <color theme="1"/>
      <name val="Aptos Narrow"/>
      <family val="2"/>
      <scheme val="minor"/>
    </font>
    <font>
      <sz val="12"/>
      <color theme="1"/>
      <name val="Arial"/>
      <family val="2"/>
    </font>
    <font>
      <sz val="10"/>
      <name val="Arial"/>
      <family val="2"/>
    </font>
    <font>
      <sz val="11"/>
      <color theme="0"/>
      <name val="Aptos Narrow"/>
      <family val="2"/>
      <scheme val="minor"/>
    </font>
    <font>
      <sz val="11"/>
      <name val="Calibri"/>
      <family val="2"/>
    </font>
    <font>
      <b/>
      <u/>
      <sz val="12"/>
      <name val="Calibri"/>
      <family val="2"/>
    </font>
    <font>
      <b/>
      <sz val="11"/>
      <color theme="1"/>
      <name val="Aptos Narrow"/>
      <family val="2"/>
      <scheme val="minor"/>
    </font>
    <font>
      <b/>
      <vertAlign val="subscript"/>
      <sz val="11"/>
      <color theme="1"/>
      <name val="Aptos Narrow"/>
      <family val="2"/>
      <scheme val="minor"/>
    </font>
    <font>
      <b/>
      <vertAlign val="superscript"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i/>
      <sz val="10"/>
      <name val="Arial"/>
      <family val="2"/>
    </font>
    <font>
      <sz val="11"/>
      <color rgb="FFCCCCFF"/>
      <name val="Aptos Narrow"/>
      <family val="2"/>
      <scheme val="minor"/>
    </font>
    <font>
      <b/>
      <i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10"/>
      <name val="Arial"/>
      <family val="2"/>
    </font>
    <font>
      <b/>
      <sz val="12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i/>
      <sz val="11"/>
      <color rgb="FFC00000"/>
      <name val="Aptos Narrow"/>
      <family val="2"/>
      <scheme val="minor"/>
    </font>
    <font>
      <b/>
      <sz val="11"/>
      <color theme="1"/>
      <name val="Aptos Narrow"/>
      <scheme val="minor"/>
    </font>
    <font>
      <sz val="11"/>
      <color theme="0" tint="-0.249977111117893"/>
      <name val="Aptos Narrow"/>
      <family val="2"/>
      <scheme val="minor"/>
    </font>
    <font>
      <b/>
      <vertAlign val="subscript"/>
      <sz val="11"/>
      <color theme="1"/>
      <name val="Aptos Narrow (Body)"/>
    </font>
    <font>
      <b/>
      <u/>
      <sz val="11"/>
      <color theme="1"/>
      <name val="Aptos Narrow"/>
      <scheme val="minor"/>
    </font>
    <font>
      <i/>
      <sz val="11"/>
      <color theme="1"/>
      <name val="Aptos Narrow"/>
      <scheme val="minor"/>
    </font>
    <font>
      <b/>
      <i/>
      <u/>
      <sz val="11"/>
      <color theme="1"/>
      <name val="Aptos Narrow"/>
      <scheme val="minor"/>
    </font>
    <font>
      <sz val="14"/>
      <color rgb="FF000000"/>
      <name val="Aptos Narrow"/>
    </font>
  </fonts>
  <fills count="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0.49998474074526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2" borderId="0" xfId="0" applyFill="1"/>
    <xf numFmtId="0" fontId="2" fillId="2" borderId="0" xfId="0" applyFont="1" applyFill="1"/>
    <xf numFmtId="0" fontId="3" fillId="0" borderId="0" xfId="0" applyFont="1"/>
    <xf numFmtId="0" fontId="0" fillId="2" borderId="0" xfId="0" applyFill="1" applyAlignment="1">
      <alignment horizontal="right"/>
    </xf>
    <xf numFmtId="0" fontId="4" fillId="2" borderId="0" xfId="0" applyFont="1" applyFill="1"/>
    <xf numFmtId="0" fontId="5" fillId="2" borderId="0" xfId="0" applyFont="1" applyFill="1"/>
    <xf numFmtId="0" fontId="6" fillId="2" borderId="0" xfId="0" applyFont="1" applyFill="1"/>
    <xf numFmtId="0" fontId="9" fillId="2" borderId="0" xfId="0" applyFont="1" applyFill="1" applyAlignment="1">
      <alignment horizontal="right"/>
    </xf>
    <xf numFmtId="0" fontId="0" fillId="0" borderId="1" xfId="0" applyBorder="1"/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 vertical="center"/>
    </xf>
    <xf numFmtId="164" fontId="0" fillId="3" borderId="3" xfId="0" applyNumberFormat="1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  <xf numFmtId="0" fontId="6" fillId="2" borderId="0" xfId="0" applyFont="1" applyFill="1" applyAlignment="1">
      <alignment horizontal="right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164" fontId="0" fillId="3" borderId="6" xfId="0" applyNumberForma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11" fillId="2" borderId="0" xfId="0" applyFont="1" applyFill="1"/>
    <xf numFmtId="164" fontId="0" fillId="3" borderId="8" xfId="0" applyNumberFormat="1" applyFill="1" applyBorder="1" applyAlignment="1">
      <alignment horizontal="center" vertical="center"/>
    </xf>
    <xf numFmtId="0" fontId="0" fillId="3" borderId="9" xfId="0" applyFill="1" applyBorder="1" applyAlignment="1">
      <alignment horizontal="center"/>
    </xf>
    <xf numFmtId="0" fontId="12" fillId="3" borderId="2" xfId="0" applyFont="1" applyFill="1" applyBorder="1"/>
    <xf numFmtId="0" fontId="0" fillId="3" borderId="4" xfId="0" applyFill="1" applyBorder="1"/>
    <xf numFmtId="0" fontId="13" fillId="3" borderId="3" xfId="0" applyFont="1" applyFill="1" applyBorder="1"/>
    <xf numFmtId="0" fontId="2" fillId="2" borderId="0" xfId="0" applyFont="1" applyFill="1" applyAlignment="1">
      <alignment horizontal="right"/>
    </xf>
    <xf numFmtId="0" fontId="14" fillId="3" borderId="5" xfId="0" applyFont="1" applyFill="1" applyBorder="1" applyAlignment="1">
      <alignment horizontal="left" indent="1"/>
    </xf>
    <xf numFmtId="0" fontId="0" fillId="3" borderId="0" xfId="0" applyFill="1"/>
    <xf numFmtId="0" fontId="0" fillId="3" borderId="6" xfId="0" applyFill="1" applyBorder="1"/>
    <xf numFmtId="0" fontId="15" fillId="3" borderId="5" xfId="0" applyFont="1" applyFill="1" applyBorder="1" applyAlignment="1">
      <alignment horizontal="left" indent="1"/>
    </xf>
    <xf numFmtId="0" fontId="9" fillId="3" borderId="5" xfId="0" applyFont="1" applyFill="1" applyBorder="1" applyAlignment="1">
      <alignment horizontal="left" indent="1"/>
    </xf>
    <xf numFmtId="0" fontId="16" fillId="3" borderId="7" xfId="0" applyFont="1" applyFill="1" applyBorder="1"/>
    <xf numFmtId="0" fontId="0" fillId="3" borderId="9" xfId="0" applyFill="1" applyBorder="1"/>
    <xf numFmtId="0" fontId="0" fillId="3" borderId="8" xfId="0" applyFill="1" applyBorder="1"/>
    <xf numFmtId="0" fontId="17" fillId="2" borderId="0" xfId="0" applyFont="1" applyFill="1" applyAlignment="1">
      <alignment horizontal="right"/>
    </xf>
    <xf numFmtId="0" fontId="18" fillId="2" borderId="0" xfId="0" applyFont="1" applyFill="1" applyAlignment="1">
      <alignment horizontal="left"/>
    </xf>
    <xf numFmtId="0" fontId="6" fillId="2" borderId="0" xfId="0" applyFont="1" applyFill="1" applyAlignment="1">
      <alignment horizontal="center"/>
    </xf>
    <xf numFmtId="164" fontId="0" fillId="0" borderId="0" xfId="0" applyNumberFormat="1"/>
    <xf numFmtId="0" fontId="20" fillId="0" borderId="0" xfId="0" applyFont="1"/>
    <xf numFmtId="0" fontId="0" fillId="0" borderId="0" xfId="0" applyAlignment="1">
      <alignment horizontal="right"/>
    </xf>
    <xf numFmtId="164" fontId="0" fillId="5" borderId="1" xfId="0" applyNumberFormat="1" applyFill="1" applyBorder="1"/>
    <xf numFmtId="0" fontId="21" fillId="0" borderId="0" xfId="0" applyFont="1"/>
    <xf numFmtId="164" fontId="0" fillId="0" borderId="1" xfId="0" applyNumberFormat="1" applyBorder="1"/>
    <xf numFmtId="0" fontId="0" fillId="0" borderId="1" xfId="0" applyBorder="1" applyAlignment="1">
      <alignment horizontal="right"/>
    </xf>
    <xf numFmtId="0" fontId="0" fillId="0" borderId="12" xfId="0" applyBorder="1"/>
    <xf numFmtId="0" fontId="0" fillId="0" borderId="13" xfId="0" applyBorder="1"/>
    <xf numFmtId="0" fontId="6" fillId="0" borderId="0" xfId="0" applyFont="1"/>
    <xf numFmtId="0" fontId="20" fillId="0" borderId="0" xfId="0" applyFont="1" applyAlignment="1">
      <alignment horizontal="right"/>
    </xf>
    <xf numFmtId="0" fontId="20" fillId="0" borderId="14" xfId="0" applyFont="1" applyBorder="1" applyAlignment="1">
      <alignment horizontal="center"/>
    </xf>
    <xf numFmtId="0" fontId="20" fillId="0" borderId="15" xfId="0" applyFont="1" applyBorder="1" applyAlignment="1">
      <alignment horizontal="center"/>
    </xf>
    <xf numFmtId="164" fontId="0" fillId="0" borderId="13" xfId="0" applyNumberFormat="1" applyBorder="1"/>
    <xf numFmtId="0" fontId="23" fillId="6" borderId="13" xfId="0" applyFont="1" applyFill="1" applyBorder="1"/>
    <xf numFmtId="0" fontId="0" fillId="6" borderId="13" xfId="0" applyFill="1" applyBorder="1"/>
    <xf numFmtId="0" fontId="25" fillId="6" borderId="13" xfId="0" applyFont="1" applyFill="1" applyBorder="1"/>
    <xf numFmtId="164" fontId="0" fillId="6" borderId="13" xfId="0" applyNumberFormat="1" applyFill="1" applyBorder="1"/>
    <xf numFmtId="0" fontId="0" fillId="7" borderId="13" xfId="0" applyFill="1" applyBorder="1"/>
    <xf numFmtId="164" fontId="0" fillId="7" borderId="13" xfId="0" applyNumberFormat="1" applyFill="1" applyBorder="1"/>
    <xf numFmtId="0" fontId="0" fillId="7" borderId="0" xfId="0" applyFill="1"/>
    <xf numFmtId="0" fontId="0" fillId="6" borderId="0" xfId="0" applyFill="1"/>
    <xf numFmtId="164" fontId="0" fillId="6" borderId="0" xfId="0" applyNumberFormat="1" applyFill="1"/>
    <xf numFmtId="0" fontId="20" fillId="7" borderId="15" xfId="0" applyFont="1" applyFill="1" applyBorder="1" applyAlignment="1">
      <alignment horizontal="center"/>
    </xf>
    <xf numFmtId="0" fontId="0" fillId="7" borderId="13" xfId="0" applyFill="1" applyBorder="1" applyAlignment="1">
      <alignment horizontal="left" vertical="center"/>
    </xf>
    <xf numFmtId="164" fontId="0" fillId="7" borderId="13" xfId="0" applyNumberFormat="1" applyFill="1" applyBorder="1" applyAlignment="1">
      <alignment horizontal="left" vertical="center"/>
    </xf>
    <xf numFmtId="0" fontId="24" fillId="7" borderId="13" xfId="0" applyFont="1" applyFill="1" applyBorder="1" applyAlignment="1">
      <alignment horizontal="left" vertical="center"/>
    </xf>
    <xf numFmtId="0" fontId="24" fillId="7" borderId="13" xfId="0" applyFont="1" applyFill="1" applyBorder="1"/>
    <xf numFmtId="0" fontId="24" fillId="7" borderId="13" xfId="0" applyFont="1" applyFill="1" applyBorder="1" applyAlignment="1">
      <alignment horizontal="left" vertical="center" wrapText="1"/>
    </xf>
    <xf numFmtId="0" fontId="20" fillId="4" borderId="1" xfId="0" applyFont="1" applyFill="1" applyBorder="1"/>
    <xf numFmtId="0" fontId="20" fillId="6" borderId="1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20" fillId="0" borderId="0" xfId="0" applyNumberFormat="1" applyFont="1"/>
    <xf numFmtId="164" fontId="6" fillId="0" borderId="0" xfId="0" applyNumberFormat="1" applyFont="1"/>
    <xf numFmtId="164" fontId="20" fillId="4" borderId="13" xfId="0" applyNumberFormat="1" applyFont="1" applyFill="1" applyBorder="1" applyAlignment="1">
      <alignment horizontal="left" vertical="center"/>
    </xf>
    <xf numFmtId="0" fontId="20" fillId="4" borderId="13" xfId="0" applyFont="1" applyFill="1" applyBorder="1" applyAlignment="1">
      <alignment horizontal="left" vertical="center"/>
    </xf>
    <xf numFmtId="0" fontId="20" fillId="5" borderId="1" xfId="0" applyFont="1" applyFill="1" applyBorder="1"/>
    <xf numFmtId="0" fontId="19" fillId="0" borderId="10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20" fillId="8" borderId="14" xfId="0" applyFont="1" applyFill="1" applyBorder="1" applyAlignment="1">
      <alignment horizontal="center"/>
    </xf>
    <xf numFmtId="0" fontId="20" fillId="8" borderId="16" xfId="0" applyFont="1" applyFill="1" applyBorder="1" applyAlignment="1">
      <alignment horizontal="center"/>
    </xf>
    <xf numFmtId="0" fontId="20" fillId="8" borderId="15" xfId="0" applyFont="1" applyFill="1" applyBorder="1" applyAlignment="1">
      <alignment horizontal="center"/>
    </xf>
    <xf numFmtId="0" fontId="20" fillId="7" borderId="14" xfId="0" applyFont="1" applyFill="1" applyBorder="1" applyAlignment="1">
      <alignment horizontal="center" vertical="center"/>
    </xf>
    <xf numFmtId="0" fontId="20" fillId="7" borderId="15" xfId="0" applyFont="1" applyFill="1" applyBorder="1" applyAlignment="1">
      <alignment horizontal="center" vertical="center"/>
    </xf>
    <xf numFmtId="0" fontId="20" fillId="6" borderId="13" xfId="0" applyFont="1" applyFill="1" applyBorder="1" applyAlignment="1">
      <alignment horizontal="center" vertical="center"/>
    </xf>
    <xf numFmtId="0" fontId="20" fillId="6" borderId="13" xfId="0" applyFont="1" applyFill="1" applyBorder="1" applyAlignment="1">
      <alignment vertic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12</xdr:row>
          <xdr:rowOff>38100</xdr:rowOff>
        </xdr:from>
        <xdr:to>
          <xdr:col>7</xdr:col>
          <xdr:colOff>838200</xdr:colOff>
          <xdr:row>15</xdr:row>
          <xdr:rowOff>139700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Solve Min Value</a:t>
              </a:r>
            </a:p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(Route Closed)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342900</xdr:colOff>
          <xdr:row>3</xdr:row>
          <xdr:rowOff>12700</xdr:rowOff>
        </xdr:from>
        <xdr:to>
          <xdr:col>19</xdr:col>
          <xdr:colOff>647700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Week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355600</xdr:colOff>
          <xdr:row>4</xdr:row>
          <xdr:rowOff>114300</xdr:rowOff>
        </xdr:from>
        <xdr:to>
          <xdr:col>19</xdr:col>
          <xdr:colOff>635000</xdr:colOff>
          <xdr:row>4</xdr:row>
          <xdr:rowOff>330200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813724</xdr:colOff>
      <xdr:row>2</xdr:row>
      <xdr:rowOff>169487</xdr:rowOff>
    </xdr:from>
    <xdr:to>
      <xdr:col>22</xdr:col>
      <xdr:colOff>803564</xdr:colOff>
      <xdr:row>4</xdr:row>
      <xdr:rowOff>12353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D5A3962-9D84-1383-64A4-681DB9BAE952}"/>
            </a:ext>
          </a:extLst>
        </xdr:cNvPr>
        <xdr:cNvSpPr txBox="1"/>
      </xdr:nvSpPr>
      <xdr:spPr>
        <a:xfrm>
          <a:off x="17857701" y="544714"/>
          <a:ext cx="2457681" cy="2180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kern="1200"/>
            <a:t>Reset Demand</a:t>
          </a:r>
          <a:r>
            <a:rPr lang="en-GB" sz="1100" kern="1200" baseline="0"/>
            <a:t> Values to Week 1 Values</a:t>
          </a:r>
          <a:endParaRPr lang="en-GB" sz="1100" kern="1200"/>
        </a:p>
      </xdr:txBody>
    </xdr:sp>
    <xdr:clientData/>
  </xdr:twoCellAnchor>
  <xdr:twoCellAnchor>
    <xdr:from>
      <xdr:col>19</xdr:col>
      <xdr:colOff>809452</xdr:colOff>
      <xdr:row>4</xdr:row>
      <xdr:rowOff>114415</xdr:rowOff>
    </xdr:from>
    <xdr:to>
      <xdr:col>22</xdr:col>
      <xdr:colOff>799292</xdr:colOff>
      <xdr:row>4</xdr:row>
      <xdr:rowOff>332508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A690F6B-5C7B-E246-919C-60E873A9B44A}"/>
            </a:ext>
          </a:extLst>
        </xdr:cNvPr>
        <xdr:cNvSpPr txBox="1"/>
      </xdr:nvSpPr>
      <xdr:spPr>
        <a:xfrm>
          <a:off x="17853429" y="864870"/>
          <a:ext cx="2457681" cy="2180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kern="1200"/>
            <a:t>Reset Demand</a:t>
          </a:r>
          <a:r>
            <a:rPr lang="en-GB" sz="1100" kern="1200" baseline="0"/>
            <a:t> Values to Week 4 Values</a:t>
          </a:r>
          <a:endParaRPr lang="en-GB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381000</xdr:colOff>
          <xdr:row>5</xdr:row>
          <xdr:rowOff>76200</xdr:rowOff>
        </xdr:from>
        <xdr:to>
          <xdr:col>19</xdr:col>
          <xdr:colOff>673100</xdr:colOff>
          <xdr:row>5</xdr:row>
          <xdr:rowOff>292100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Flat Rate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803102</xdr:colOff>
      <xdr:row>5</xdr:row>
      <xdr:rowOff>50339</xdr:rowOff>
    </xdr:from>
    <xdr:to>
      <xdr:col>22</xdr:col>
      <xdr:colOff>792942</xdr:colOff>
      <xdr:row>5</xdr:row>
      <xdr:rowOff>268432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64F4B64-E75D-6B4F-9CF6-F169149AD51D}"/>
            </a:ext>
          </a:extLst>
        </xdr:cNvPr>
        <xdr:cNvSpPr txBox="1"/>
      </xdr:nvSpPr>
      <xdr:spPr>
        <a:xfrm>
          <a:off x="17847079" y="1204884"/>
          <a:ext cx="2457681" cy="2180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kern="1200"/>
            <a:t>Calculate Flat Rate for Black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38100</xdr:rowOff>
        </xdr:from>
        <xdr:to>
          <xdr:col>9</xdr:col>
          <xdr:colOff>571500</xdr:colOff>
          <xdr:row>15</xdr:row>
          <xdr:rowOff>139700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Solve Min Value</a:t>
              </a:r>
            </a:p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(Route Open)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BC618-2891-4583-B148-826C325406DA}">
  <sheetPr codeName="Sheet3"/>
  <dimension ref="A1:AZ33"/>
  <sheetViews>
    <sheetView zoomScale="125" workbookViewId="0">
      <selection activeCell="J11" sqref="J11"/>
    </sheetView>
  </sheetViews>
  <sheetFormatPr baseColWidth="10" defaultColWidth="8.83203125" defaultRowHeight="15" x14ac:dyDescent="0.2"/>
  <cols>
    <col min="1" max="1" width="4.5" customWidth="1"/>
    <col min="2" max="2" width="8.5" customWidth="1"/>
    <col min="3" max="6" width="6.5" customWidth="1"/>
    <col min="7" max="7" width="8.5" customWidth="1"/>
    <col min="8" max="8" width="10.83203125" customWidth="1"/>
    <col min="9" max="9" width="15" customWidth="1"/>
    <col min="10" max="10" width="10.83203125" customWidth="1"/>
    <col min="11" max="13" width="5" customWidth="1"/>
    <col min="14" max="14" width="8.1640625" customWidth="1"/>
    <col min="15" max="15" width="3.1640625" customWidth="1"/>
    <col min="16" max="16" width="8.1640625" customWidth="1"/>
    <col min="17" max="17" width="3.1640625" customWidth="1"/>
    <col min="18" max="18" width="8.1640625" customWidth="1"/>
    <col min="19" max="19" width="3.1640625" customWidth="1"/>
    <col min="20" max="20" width="8.1640625" customWidth="1"/>
    <col min="21" max="21" width="8" customWidth="1"/>
    <col min="23" max="23" width="3.1640625" customWidth="1"/>
  </cols>
  <sheetData>
    <row r="1" spans="1:52" ht="15" customHeight="1" x14ac:dyDescent="0.2">
      <c r="A1" s="1"/>
      <c r="B1" s="2"/>
      <c r="C1" s="2"/>
      <c r="D1" s="2"/>
      <c r="E1" s="2"/>
      <c r="F1" s="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AZ1" s="3">
        <v>25</v>
      </c>
    </row>
    <row r="2" spans="1:52" ht="15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"/>
      <c r="N2" s="4"/>
      <c r="O2" s="4"/>
      <c r="P2" s="4"/>
      <c r="Q2" s="4"/>
      <c r="R2" s="4"/>
      <c r="S2" s="4"/>
      <c r="T2" s="4"/>
      <c r="U2" s="4"/>
      <c r="V2" s="4"/>
      <c r="W2" s="1"/>
      <c r="X2" s="1"/>
      <c r="Y2" s="1"/>
    </row>
    <row r="3" spans="1:52" ht="15" customHeight="1" x14ac:dyDescent="0.25">
      <c r="A3" s="5"/>
      <c r="B3" s="6" t="s">
        <v>0</v>
      </c>
      <c r="C3" s="1"/>
      <c r="D3" s="1"/>
      <c r="E3" s="1"/>
      <c r="F3" s="1"/>
      <c r="G3" s="1"/>
      <c r="H3" s="1"/>
      <c r="I3" s="1"/>
      <c r="J3" s="1"/>
      <c r="K3" s="1"/>
      <c r="L3" s="1"/>
      <c r="M3" s="7" t="s">
        <v>1</v>
      </c>
      <c r="N3" s="4"/>
      <c r="O3" s="4"/>
      <c r="P3" s="4"/>
      <c r="Q3" s="4"/>
      <c r="R3" s="4"/>
      <c r="S3" s="4"/>
      <c r="T3" s="4"/>
      <c r="U3" s="4"/>
      <c r="V3" s="4"/>
      <c r="W3" s="1"/>
      <c r="X3" s="1"/>
      <c r="Y3" s="1"/>
    </row>
    <row r="4" spans="1:52" ht="15.75" customHeight="1" x14ac:dyDescent="0.25">
      <c r="A4" s="5">
        <v>1</v>
      </c>
      <c r="B4" s="5" t="s">
        <v>2</v>
      </c>
      <c r="C4" s="1"/>
      <c r="D4" s="1"/>
      <c r="E4" s="1"/>
      <c r="F4" s="1"/>
      <c r="G4" s="8" t="s">
        <v>3</v>
      </c>
      <c r="H4" s="9">
        <v>525</v>
      </c>
      <c r="I4" s="8" t="s">
        <v>4</v>
      </c>
      <c r="J4" s="9">
        <v>35</v>
      </c>
      <c r="K4" s="1"/>
      <c r="L4" s="1"/>
      <c r="M4" s="10" t="s">
        <v>5</v>
      </c>
      <c r="N4" s="11">
        <v>845</v>
      </c>
      <c r="O4" s="10" t="s">
        <v>6</v>
      </c>
      <c r="P4" s="11">
        <v>560</v>
      </c>
      <c r="Q4" s="10" t="s">
        <v>7</v>
      </c>
      <c r="R4" s="12">
        <v>2.4500000000000002</v>
      </c>
      <c r="S4" s="13" t="s">
        <v>8</v>
      </c>
      <c r="T4" s="12">
        <v>2.15</v>
      </c>
      <c r="U4" s="4"/>
      <c r="V4" s="4"/>
      <c r="W4" s="1"/>
      <c r="X4" s="1"/>
      <c r="Y4" s="1"/>
    </row>
    <row r="5" spans="1:52" ht="15.75" customHeight="1" x14ac:dyDescent="0.25">
      <c r="A5" s="5"/>
      <c r="B5" s="5" t="s">
        <v>9</v>
      </c>
      <c r="C5" s="1"/>
      <c r="D5" s="1"/>
      <c r="E5" s="1"/>
      <c r="F5" s="1"/>
      <c r="G5" s="14" t="s">
        <v>10</v>
      </c>
      <c r="H5" s="9">
        <v>220</v>
      </c>
      <c r="I5" s="14" t="s">
        <v>11</v>
      </c>
      <c r="J5" s="9">
        <v>457</v>
      </c>
      <c r="K5" s="1"/>
      <c r="L5" s="1"/>
      <c r="M5" s="15" t="s">
        <v>12</v>
      </c>
      <c r="N5" s="16">
        <v>1115</v>
      </c>
      <c r="O5" s="15" t="s">
        <v>13</v>
      </c>
      <c r="P5" s="16">
        <v>677</v>
      </c>
      <c r="Q5" s="15" t="s">
        <v>14</v>
      </c>
      <c r="R5" s="17">
        <v>2.25</v>
      </c>
      <c r="S5" s="18" t="s">
        <v>15</v>
      </c>
      <c r="T5" s="17">
        <v>1.8</v>
      </c>
      <c r="U5" s="4"/>
      <c r="V5" s="4"/>
      <c r="W5" s="1"/>
      <c r="X5" s="1"/>
      <c r="Y5" s="1"/>
    </row>
    <row r="6" spans="1:52" ht="15.75" customHeight="1" x14ac:dyDescent="0.25">
      <c r="A6" s="5"/>
      <c r="B6" s="5"/>
      <c r="C6" s="1"/>
      <c r="D6" s="1"/>
      <c r="E6" s="1"/>
      <c r="F6" s="1"/>
      <c r="G6" s="14" t="s">
        <v>16</v>
      </c>
      <c r="H6" s="9">
        <v>0</v>
      </c>
      <c r="I6" s="14" t="s">
        <v>17</v>
      </c>
      <c r="J6" s="9">
        <v>425</v>
      </c>
      <c r="K6" s="1"/>
      <c r="L6" s="1"/>
      <c r="M6" s="19" t="s">
        <v>18</v>
      </c>
      <c r="N6" s="20">
        <v>525</v>
      </c>
      <c r="O6" s="15" t="s">
        <v>19</v>
      </c>
      <c r="P6" s="16">
        <v>425</v>
      </c>
      <c r="Q6" s="15" t="s">
        <v>20</v>
      </c>
      <c r="R6" s="17">
        <v>1.95</v>
      </c>
      <c r="S6" s="18" t="s">
        <v>21</v>
      </c>
      <c r="T6" s="17">
        <v>3.1500000000000004</v>
      </c>
      <c r="U6" s="4"/>
      <c r="V6" s="4"/>
      <c r="W6" s="1"/>
      <c r="X6" s="1"/>
      <c r="Y6" s="1"/>
    </row>
    <row r="7" spans="1:52" ht="15.75" customHeight="1" x14ac:dyDescent="0.25">
      <c r="A7" s="5"/>
      <c r="B7" s="21"/>
      <c r="C7" s="1"/>
      <c r="D7" s="1"/>
      <c r="E7" s="1"/>
      <c r="F7" s="1"/>
      <c r="G7" s="14" t="s">
        <v>22</v>
      </c>
      <c r="H7" s="9">
        <v>0</v>
      </c>
      <c r="I7" s="14" t="s">
        <v>23</v>
      </c>
      <c r="J7" s="9">
        <v>75</v>
      </c>
      <c r="K7" s="1"/>
      <c r="L7" s="1"/>
      <c r="M7" s="4"/>
      <c r="N7" s="4"/>
      <c r="O7" s="15" t="s">
        <v>24</v>
      </c>
      <c r="P7" s="16">
        <v>75</v>
      </c>
      <c r="Q7" s="15" t="s">
        <v>25</v>
      </c>
      <c r="R7" s="17">
        <v>2.15</v>
      </c>
      <c r="S7" s="18" t="s">
        <v>26</v>
      </c>
      <c r="T7" s="17">
        <v>2.75</v>
      </c>
      <c r="U7" s="4"/>
      <c r="V7" s="4"/>
      <c r="W7" s="1"/>
      <c r="X7" s="1"/>
      <c r="Y7" s="1"/>
    </row>
    <row r="8" spans="1:52" ht="15.75" customHeight="1" x14ac:dyDescent="0.25">
      <c r="A8" s="5"/>
      <c r="B8" s="21"/>
      <c r="C8" s="1"/>
      <c r="D8" s="1"/>
      <c r="E8" s="1"/>
      <c r="F8" s="1"/>
      <c r="G8" s="14" t="s">
        <v>27</v>
      </c>
      <c r="H8" s="9">
        <v>100</v>
      </c>
      <c r="I8" s="14" t="s">
        <v>28</v>
      </c>
      <c r="J8" s="9">
        <v>0</v>
      </c>
      <c r="K8" s="1"/>
      <c r="L8" s="1"/>
      <c r="M8" s="4"/>
      <c r="N8" s="4"/>
      <c r="O8" s="15" t="s">
        <v>29</v>
      </c>
      <c r="P8" s="16">
        <v>100</v>
      </c>
      <c r="Q8" s="19" t="s">
        <v>30</v>
      </c>
      <c r="R8" s="22">
        <v>2</v>
      </c>
      <c r="S8" s="23" t="s">
        <v>31</v>
      </c>
      <c r="T8" s="22">
        <v>1.7</v>
      </c>
      <c r="U8" s="4"/>
      <c r="V8" s="4"/>
      <c r="W8" s="1"/>
      <c r="X8" s="1"/>
      <c r="Y8" s="1"/>
    </row>
    <row r="9" spans="1:52" ht="15.75" customHeight="1" x14ac:dyDescent="0.2">
      <c r="A9" s="5"/>
      <c r="B9" s="21"/>
      <c r="C9" s="1"/>
      <c r="D9" s="1"/>
      <c r="E9" s="1"/>
      <c r="F9" s="1"/>
      <c r="G9" s="1"/>
      <c r="H9" s="1"/>
      <c r="I9" s="1"/>
      <c r="J9" s="1"/>
      <c r="K9" s="1"/>
      <c r="L9" s="1"/>
      <c r="M9" s="4"/>
      <c r="N9" s="4"/>
      <c r="O9" s="15" t="s">
        <v>32</v>
      </c>
      <c r="P9" s="16">
        <v>56</v>
      </c>
      <c r="Q9" s="1"/>
      <c r="R9" s="1"/>
      <c r="S9" s="1"/>
      <c r="T9" s="1"/>
      <c r="U9" s="4"/>
      <c r="V9" s="4"/>
      <c r="W9" s="1"/>
      <c r="X9" s="1"/>
      <c r="Y9" s="1"/>
    </row>
    <row r="10" spans="1:52" ht="15.75" customHeight="1" x14ac:dyDescent="0.2">
      <c r="A10" s="5">
        <v>2</v>
      </c>
      <c r="B10" s="5" t="s">
        <v>33</v>
      </c>
      <c r="C10" s="1"/>
      <c r="D10" s="1"/>
      <c r="E10" s="1"/>
      <c r="F10" s="1"/>
      <c r="G10" s="1"/>
      <c r="H10" s="1"/>
      <c r="I10" s="1"/>
      <c r="J10" s="44">
        <f>ROUND(4424.1,0)</f>
        <v>4424</v>
      </c>
      <c r="K10" s="1"/>
      <c r="L10" s="1"/>
      <c r="M10" s="1"/>
      <c r="N10" s="4"/>
      <c r="O10" s="19" t="s">
        <v>34</v>
      </c>
      <c r="P10" s="20">
        <v>135</v>
      </c>
      <c r="Q10" s="1"/>
      <c r="R10" s="1"/>
      <c r="S10" s="1"/>
      <c r="T10" s="1"/>
      <c r="U10" s="4"/>
      <c r="V10" s="4"/>
      <c r="W10" s="1"/>
      <c r="X10" s="1"/>
      <c r="Y10" s="1"/>
    </row>
    <row r="11" spans="1:52" ht="15.75" customHeight="1" x14ac:dyDescent="0.2">
      <c r="A11" s="5">
        <v>3</v>
      </c>
      <c r="B11" s="5" t="s">
        <v>35</v>
      </c>
      <c r="C11" s="1"/>
      <c r="D11" s="1"/>
      <c r="E11" s="1"/>
      <c r="F11" s="1"/>
      <c r="G11" s="1"/>
      <c r="H11" s="1"/>
      <c r="I11" s="1"/>
      <c r="J11" s="9">
        <v>123</v>
      </c>
      <c r="K11" s="1"/>
      <c r="L11" s="1"/>
      <c r="M11" s="1"/>
      <c r="N11" s="2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52" ht="15.75" customHeight="1" x14ac:dyDescent="0.2">
      <c r="A12" s="5">
        <v>4</v>
      </c>
      <c r="B12" s="5" t="s">
        <v>36</v>
      </c>
      <c r="C12" s="1"/>
      <c r="D12" s="1"/>
      <c r="E12" s="1"/>
      <c r="F12" s="1"/>
      <c r="G12" s="1"/>
      <c r="H12" s="1"/>
      <c r="I12" s="1"/>
      <c r="J12" s="45" t="s">
        <v>96</v>
      </c>
      <c r="K12" s="1"/>
      <c r="L12" s="1"/>
      <c r="M12" s="24"/>
      <c r="N12" s="25"/>
      <c r="O12" s="25"/>
      <c r="P12" s="25"/>
      <c r="Q12" s="25"/>
      <c r="R12" s="25"/>
      <c r="S12" s="25"/>
      <c r="T12" s="25"/>
      <c r="U12" s="26">
        <v>25</v>
      </c>
      <c r="V12" s="1"/>
      <c r="W12" s="1"/>
      <c r="X12" s="1"/>
      <c r="Y12" s="1"/>
    </row>
    <row r="13" spans="1:52" ht="15.75" customHeight="1" x14ac:dyDescent="0.2">
      <c r="A13" s="5">
        <v>5</v>
      </c>
      <c r="B13" s="5" t="s">
        <v>37</v>
      </c>
      <c r="C13" s="1"/>
      <c r="D13" s="1"/>
      <c r="E13" s="1"/>
      <c r="F13" s="1"/>
      <c r="G13" s="1"/>
      <c r="H13" s="1"/>
      <c r="I13" s="27"/>
      <c r="J13" s="44">
        <f>ROUND(1981.25,0)</f>
        <v>1981</v>
      </c>
      <c r="K13" s="1"/>
      <c r="L13" s="1"/>
      <c r="M13" s="28" t="s">
        <v>38</v>
      </c>
      <c r="N13" s="29"/>
      <c r="O13" s="29"/>
      <c r="P13" s="29"/>
      <c r="Q13" s="29"/>
      <c r="R13" s="29"/>
      <c r="S13" s="29"/>
      <c r="T13" s="29"/>
      <c r="U13" s="30"/>
      <c r="V13" s="1"/>
      <c r="W13" s="1"/>
      <c r="X13" s="1"/>
      <c r="Y13" s="1"/>
    </row>
    <row r="14" spans="1:52" ht="15.75" customHeight="1" x14ac:dyDescent="0.2">
      <c r="A14" s="5">
        <v>6</v>
      </c>
      <c r="B14" s="5" t="s">
        <v>39</v>
      </c>
      <c r="C14" s="1"/>
      <c r="D14" s="1"/>
      <c r="E14" s="1"/>
      <c r="F14" s="1"/>
      <c r="G14" s="1"/>
      <c r="H14" s="1"/>
      <c r="I14" s="27"/>
      <c r="J14" s="44">
        <f>ROUND(2442.85,0)</f>
        <v>2443</v>
      </c>
      <c r="K14" s="1"/>
      <c r="L14" s="1"/>
      <c r="M14" s="31" t="s">
        <v>40</v>
      </c>
      <c r="N14" s="29"/>
      <c r="O14" s="29"/>
      <c r="P14" s="29"/>
      <c r="Q14" s="29"/>
      <c r="R14" s="29"/>
      <c r="S14" s="29"/>
      <c r="T14" s="29"/>
      <c r="U14" s="30"/>
      <c r="V14" s="1"/>
      <c r="W14" s="1"/>
      <c r="X14" s="1"/>
      <c r="Y14" s="1"/>
    </row>
    <row r="15" spans="1:52" ht="15.75" customHeight="1" x14ac:dyDescent="0.2">
      <c r="A15" s="5">
        <v>7</v>
      </c>
      <c r="B15" s="5" t="s">
        <v>41</v>
      </c>
      <c r="C15" s="1"/>
      <c r="D15" s="1"/>
      <c r="E15" s="1"/>
      <c r="F15" s="1"/>
      <c r="G15" s="1"/>
      <c r="H15" s="1"/>
      <c r="I15" s="1"/>
      <c r="J15" s="44">
        <f>ROUND(4544.5,0)</f>
        <v>4545</v>
      </c>
      <c r="K15" s="1"/>
      <c r="L15" s="1"/>
      <c r="M15" s="31" t="s">
        <v>42</v>
      </c>
      <c r="N15" s="29"/>
      <c r="O15" s="29"/>
      <c r="P15" s="29"/>
      <c r="Q15" s="29"/>
      <c r="R15" s="29"/>
      <c r="S15" s="29"/>
      <c r="T15" s="29"/>
      <c r="U15" s="30"/>
      <c r="V15" s="1"/>
      <c r="W15" s="1"/>
      <c r="X15" s="1"/>
      <c r="Y15" s="1"/>
    </row>
    <row r="16" spans="1:52" ht="15.75" customHeight="1" x14ac:dyDescent="0.2">
      <c r="A16" s="5">
        <v>8</v>
      </c>
      <c r="B16" s="5" t="s">
        <v>35</v>
      </c>
      <c r="C16" s="1"/>
      <c r="D16" s="1"/>
      <c r="E16" s="1"/>
      <c r="F16" s="1"/>
      <c r="G16" s="1"/>
      <c r="H16" s="1"/>
      <c r="I16" s="1"/>
      <c r="J16" s="9">
        <v>67</v>
      </c>
      <c r="K16" s="1"/>
      <c r="L16" s="1"/>
      <c r="M16" s="32" t="s">
        <v>43</v>
      </c>
      <c r="N16" s="29"/>
      <c r="O16" s="29"/>
      <c r="P16" s="29"/>
      <c r="Q16" s="29"/>
      <c r="R16" s="29"/>
      <c r="S16" s="29"/>
      <c r="T16" s="29"/>
      <c r="U16" s="30"/>
      <c r="V16" s="1"/>
      <c r="W16" s="1"/>
      <c r="X16" s="1"/>
      <c r="Y16" s="1"/>
    </row>
    <row r="17" spans="1:25" ht="15.75" customHeight="1" x14ac:dyDescent="0.2">
      <c r="A17" s="5">
        <v>9</v>
      </c>
      <c r="B17" s="5" t="s">
        <v>44</v>
      </c>
      <c r="C17" s="1"/>
      <c r="D17" s="1"/>
      <c r="E17" s="1"/>
      <c r="F17" s="1"/>
      <c r="G17" s="1"/>
      <c r="H17" s="1"/>
      <c r="I17" s="1"/>
      <c r="J17" s="44">
        <f>ROUND(4019.25,0)</f>
        <v>4019</v>
      </c>
      <c r="K17" s="1"/>
      <c r="L17" s="1"/>
      <c r="M17" s="33"/>
      <c r="N17" s="34"/>
      <c r="O17" s="34"/>
      <c r="P17" s="34"/>
      <c r="Q17" s="34"/>
      <c r="R17" s="34"/>
      <c r="S17" s="34"/>
      <c r="T17" s="34"/>
      <c r="U17" s="35"/>
      <c r="V17" s="1"/>
      <c r="W17" s="1"/>
      <c r="X17" s="1"/>
      <c r="Y17" s="1"/>
    </row>
    <row r="18" spans="1:25" ht="15.75" customHeight="1" x14ac:dyDescent="0.2">
      <c r="A18" s="5">
        <v>10</v>
      </c>
      <c r="B18" s="5" t="s">
        <v>35</v>
      </c>
      <c r="C18" s="1"/>
      <c r="D18" s="1"/>
      <c r="E18" s="1"/>
      <c r="F18" s="1"/>
      <c r="G18" s="1"/>
      <c r="H18" s="1"/>
      <c r="I18" s="1"/>
      <c r="J18" s="9">
        <v>12</v>
      </c>
      <c r="K18" s="1"/>
      <c r="L18" s="1"/>
      <c r="M18" s="1"/>
      <c r="N18" s="2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5.75" customHeight="1" x14ac:dyDescent="0.2">
      <c r="A19" s="5">
        <v>11</v>
      </c>
      <c r="B19" s="5" t="s">
        <v>45</v>
      </c>
      <c r="C19" s="1"/>
      <c r="D19" s="1"/>
      <c r="E19" s="1"/>
      <c r="F19" s="1"/>
      <c r="G19" s="1"/>
      <c r="H19" s="1"/>
      <c r="I19" s="1"/>
      <c r="J19" s="44">
        <f>ROUND(4044.45,0)</f>
        <v>4044</v>
      </c>
      <c r="K19" s="1"/>
      <c r="L19" s="1"/>
      <c r="M19" s="1"/>
      <c r="N19" s="1"/>
      <c r="O19" s="1"/>
      <c r="P19" s="36" t="s">
        <v>46</v>
      </c>
      <c r="Q19" s="37">
        <v>25</v>
      </c>
      <c r="R19" s="1"/>
      <c r="S19" s="1"/>
      <c r="T19" s="1"/>
      <c r="U19" s="1"/>
      <c r="V19" s="1"/>
      <c r="W19" s="1"/>
      <c r="X19" s="1"/>
      <c r="Y19" s="1"/>
    </row>
    <row r="20" spans="1:25" ht="15.75" customHeight="1" x14ac:dyDescent="0.2">
      <c r="A20" s="5">
        <v>12</v>
      </c>
      <c r="B20" s="5" t="s">
        <v>47</v>
      </c>
      <c r="C20" s="1"/>
      <c r="D20" s="1"/>
      <c r="E20" s="1"/>
      <c r="F20" s="1"/>
      <c r="G20" s="1"/>
      <c r="H20" s="1"/>
      <c r="I20" s="1"/>
      <c r="J20" s="9">
        <v>3</v>
      </c>
      <c r="K20" s="1"/>
      <c r="L20" s="1"/>
      <c r="M20" s="1"/>
      <c r="N20" s="2"/>
      <c r="O20" s="4" t="s">
        <v>48</v>
      </c>
      <c r="P20" s="76">
        <v>36686277</v>
      </c>
      <c r="Q20" s="77"/>
      <c r="R20" s="1"/>
      <c r="S20" s="1"/>
      <c r="T20" s="1"/>
      <c r="U20" s="1"/>
      <c r="V20" s="1"/>
      <c r="W20" s="1"/>
      <c r="X20" s="1"/>
      <c r="Y20" s="1"/>
    </row>
    <row r="21" spans="1:25" ht="15.75" customHeight="1" x14ac:dyDescent="0.2">
      <c r="A21" s="5"/>
      <c r="B21" s="2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2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5.75" customHeight="1" x14ac:dyDescent="0.2">
      <c r="A22" s="5">
        <v>13</v>
      </c>
      <c r="B22" s="5" t="s">
        <v>49</v>
      </c>
      <c r="C22" s="1"/>
      <c r="D22" s="1"/>
      <c r="E22" s="1"/>
      <c r="F22" s="1"/>
      <c r="G22" s="1"/>
      <c r="H22" s="1"/>
      <c r="I22" s="1"/>
      <c r="J22" s="44">
        <f>ROUND(4424.1-4363.5,0)</f>
        <v>61</v>
      </c>
      <c r="K22" s="1"/>
      <c r="L22" s="1"/>
      <c r="M22" s="1"/>
      <c r="N22" s="2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5.75" customHeight="1" x14ac:dyDescent="0.2">
      <c r="A23" s="5"/>
      <c r="B23" s="5" t="s">
        <v>50</v>
      </c>
      <c r="C23" s="1"/>
      <c r="D23" s="1"/>
      <c r="E23" s="1"/>
      <c r="F23" s="1"/>
      <c r="G23" s="1"/>
      <c r="H23" s="1"/>
      <c r="I23" s="1"/>
      <c r="J23" s="44">
        <f>ROUND(4044.45-4001.4,0)</f>
        <v>43</v>
      </c>
      <c r="K23" s="1"/>
      <c r="L23" s="38"/>
      <c r="M23" s="1"/>
      <c r="N23" s="2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5.75" customHeight="1" x14ac:dyDescent="0.2">
      <c r="A24" s="5">
        <v>14</v>
      </c>
      <c r="B24" s="5" t="s">
        <v>51</v>
      </c>
      <c r="C24" s="1"/>
      <c r="D24" s="1"/>
      <c r="E24" s="1"/>
      <c r="F24" s="1"/>
      <c r="G24" s="1"/>
      <c r="H24" s="1"/>
      <c r="I24" s="1"/>
      <c r="J24" s="44">
        <f>ROUND(4137.6,0)</f>
        <v>4138</v>
      </c>
      <c r="K24" s="1"/>
      <c r="L24" s="38"/>
      <c r="M24" s="1"/>
      <c r="N24" s="2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5.75" customHeight="1" x14ac:dyDescent="0.2">
      <c r="A25" s="5"/>
      <c r="B25" s="5" t="s">
        <v>52</v>
      </c>
      <c r="C25" s="1"/>
      <c r="D25" s="1"/>
      <c r="E25" s="1"/>
      <c r="F25" s="1"/>
      <c r="G25" s="1"/>
      <c r="H25" s="1"/>
      <c r="I25" s="1"/>
      <c r="J25" s="44">
        <f>ROUND(4385.4,0)</f>
        <v>4385</v>
      </c>
      <c r="K25" s="1"/>
      <c r="L25" s="1"/>
      <c r="M25" s="1"/>
      <c r="N25" s="2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5.75" customHeight="1" x14ac:dyDescent="0.2">
      <c r="A26" s="5">
        <v>15</v>
      </c>
      <c r="B26" s="5" t="s">
        <v>53</v>
      </c>
      <c r="C26" s="2"/>
      <c r="D26" s="2"/>
      <c r="E26" s="2"/>
      <c r="F26" s="2"/>
      <c r="G26" s="2"/>
      <c r="H26" s="2"/>
      <c r="I26" s="2"/>
      <c r="J26" s="44">
        <f>ROUND(4085.25,0)</f>
        <v>4085</v>
      </c>
      <c r="K26" s="1"/>
      <c r="L26" s="1"/>
      <c r="M26" s="1"/>
      <c r="N26" s="2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5.75" customHeight="1" x14ac:dyDescent="0.2">
      <c r="A27" s="5"/>
      <c r="B27" s="5" t="s">
        <v>54</v>
      </c>
      <c r="C27" s="2"/>
      <c r="D27" s="2"/>
      <c r="E27" s="2"/>
      <c r="F27" s="2"/>
      <c r="G27" s="2"/>
      <c r="H27" s="2"/>
      <c r="I27" s="2"/>
      <c r="J27" s="44">
        <f>ROUND(4390.2,0)</f>
        <v>4390</v>
      </c>
      <c r="K27" s="1"/>
      <c r="L27" s="1"/>
      <c r="M27" s="1"/>
      <c r="N27" s="2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5.75" customHeight="1" x14ac:dyDescent="0.2">
      <c r="A28" s="5">
        <v>16</v>
      </c>
      <c r="B28" s="5" t="s">
        <v>55</v>
      </c>
      <c r="C28" s="1"/>
      <c r="D28" s="1"/>
      <c r="E28" s="1"/>
      <c r="F28" s="1"/>
      <c r="G28" s="1"/>
      <c r="H28" s="1"/>
      <c r="I28" s="27"/>
      <c r="J28" s="44">
        <v>2.4700000000000002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5.75" customHeight="1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5.75" customHeight="1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5.75" customHeight="1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5.75" customHeight="1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</sheetData>
  <mergeCells count="1">
    <mergeCell ref="P20:Q20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B7841-697F-144F-B8B6-EB14A2369ACF}">
  <sheetPr codeName="Sheet1"/>
  <dimension ref="A1:W41"/>
  <sheetViews>
    <sheetView tabSelected="1" topLeftCell="D5" zoomScale="114" workbookViewId="0">
      <selection activeCell="F10" sqref="F10"/>
    </sheetView>
  </sheetViews>
  <sheetFormatPr baseColWidth="10" defaultRowHeight="15" x14ac:dyDescent="0.2"/>
  <cols>
    <col min="8" max="8" width="13" customWidth="1"/>
    <col min="9" max="9" width="12.5" customWidth="1"/>
    <col min="15" max="15" width="16.5" bestFit="1" customWidth="1"/>
    <col min="16" max="16" width="13.1640625" customWidth="1"/>
    <col min="17" max="17" width="13.5" customWidth="1"/>
    <col min="18" max="18" width="14.5" customWidth="1"/>
  </cols>
  <sheetData>
    <row r="1" spans="1:21" s="54" customFormat="1" x14ac:dyDescent="0.2">
      <c r="A1" s="53" t="s">
        <v>56</v>
      </c>
    </row>
    <row r="2" spans="1:21" s="54" customFormat="1" x14ac:dyDescent="0.2">
      <c r="A2" s="55" t="s">
        <v>128</v>
      </c>
      <c r="T2" s="56"/>
      <c r="U2" s="56"/>
    </row>
    <row r="3" spans="1:21" s="57" customFormat="1" x14ac:dyDescent="0.2">
      <c r="T3" s="58"/>
      <c r="U3" s="58"/>
    </row>
    <row r="4" spans="1:21" s="57" customFormat="1" x14ac:dyDescent="0.2">
      <c r="B4" s="78" t="s">
        <v>121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80"/>
      <c r="O4" s="78" t="s">
        <v>122</v>
      </c>
      <c r="P4" s="79"/>
      <c r="Q4" s="79"/>
      <c r="R4" s="80"/>
      <c r="T4" s="62"/>
    </row>
    <row r="5" spans="1:21" s="57" customFormat="1" ht="32" x14ac:dyDescent="0.2">
      <c r="B5" s="84" t="s">
        <v>94</v>
      </c>
      <c r="C5" s="84"/>
      <c r="E5" s="83" t="s">
        <v>97</v>
      </c>
      <c r="F5" s="83"/>
      <c r="H5" s="69" t="s">
        <v>129</v>
      </c>
      <c r="J5" s="83" t="s">
        <v>103</v>
      </c>
      <c r="K5" s="83"/>
      <c r="L5" s="83"/>
      <c r="M5" s="83"/>
      <c r="O5" s="67" t="s">
        <v>123</v>
      </c>
      <c r="P5" s="73">
        <f>O21</f>
        <v>4424.1000000000004</v>
      </c>
      <c r="Q5" s="67" t="s">
        <v>127</v>
      </c>
      <c r="R5" s="73">
        <v>2.46999999999999</v>
      </c>
      <c r="T5" s="58"/>
    </row>
    <row r="6" spans="1:21" s="63" customFormat="1" ht="48" x14ac:dyDescent="0.2">
      <c r="B6" s="65" t="s">
        <v>95</v>
      </c>
      <c r="C6" s="63">
        <f>845</f>
        <v>845</v>
      </c>
      <c r="E6" s="65" t="s">
        <v>98</v>
      </c>
      <c r="F6" s="63">
        <v>560</v>
      </c>
      <c r="H6" s="63">
        <f>525</f>
        <v>525</v>
      </c>
      <c r="J6" s="65" t="s">
        <v>60</v>
      </c>
      <c r="K6" s="64">
        <v>2.4500000000000002</v>
      </c>
      <c r="L6" s="65" t="s">
        <v>64</v>
      </c>
      <c r="M6" s="64">
        <v>2.15</v>
      </c>
      <c r="O6" s="67" t="s">
        <v>124</v>
      </c>
      <c r="P6" s="73">
        <f>SUMPRODUCT(D20:H20,D21:H21)</f>
        <v>1981.25</v>
      </c>
    </row>
    <row r="7" spans="1:21" s="63" customFormat="1" ht="48" x14ac:dyDescent="0.2">
      <c r="B7" s="65" t="s">
        <v>96</v>
      </c>
      <c r="C7" s="63">
        <f>1115</f>
        <v>1115</v>
      </c>
      <c r="E7" s="65" t="s">
        <v>99</v>
      </c>
      <c r="F7" s="63">
        <v>677</v>
      </c>
      <c r="J7" s="65" t="s">
        <v>66</v>
      </c>
      <c r="K7" s="64">
        <v>2.25</v>
      </c>
      <c r="L7" s="65" t="s">
        <v>65</v>
      </c>
      <c r="M7" s="64">
        <v>1.8</v>
      </c>
      <c r="O7" s="67" t="s">
        <v>125</v>
      </c>
      <c r="P7" s="73">
        <f>SUMPRODUCT(I20:M20,I21:M21)</f>
        <v>2442.85</v>
      </c>
    </row>
    <row r="8" spans="1:21" s="57" customFormat="1" x14ac:dyDescent="0.2">
      <c r="E8" s="65" t="s">
        <v>100</v>
      </c>
      <c r="F8" s="63">
        <v>425</v>
      </c>
      <c r="J8" s="65" t="s">
        <v>61</v>
      </c>
      <c r="K8" s="64">
        <v>1.95</v>
      </c>
      <c r="L8" s="65" t="s">
        <v>67</v>
      </c>
      <c r="M8" s="64">
        <v>3.15</v>
      </c>
      <c r="O8" s="81" t="s">
        <v>126</v>
      </c>
      <c r="P8" s="82"/>
    </row>
    <row r="9" spans="1:21" s="57" customFormat="1" x14ac:dyDescent="0.2">
      <c r="E9" s="65" t="s">
        <v>101</v>
      </c>
      <c r="F9" s="63">
        <v>75</v>
      </c>
      <c r="J9" s="65" t="s">
        <v>62</v>
      </c>
      <c r="K9" s="64">
        <v>2.15</v>
      </c>
      <c r="L9" s="65" t="s">
        <v>68</v>
      </c>
      <c r="M9" s="64">
        <v>2.75</v>
      </c>
      <c r="O9" s="65" t="s">
        <v>104</v>
      </c>
      <c r="P9" s="63">
        <f>IF(SUM(C6:C7)&gt;SUM(F6:F10), SUM(C6:C7)-SUM(F6:F10),0)</f>
        <v>123</v>
      </c>
    </row>
    <row r="10" spans="1:21" s="57" customFormat="1" x14ac:dyDescent="0.2">
      <c r="E10" s="65" t="s">
        <v>102</v>
      </c>
      <c r="F10" s="63">
        <v>100</v>
      </c>
      <c r="J10" s="65" t="s">
        <v>63</v>
      </c>
      <c r="K10" s="64">
        <v>2</v>
      </c>
      <c r="L10" s="65" t="s">
        <v>69</v>
      </c>
      <c r="M10" s="64">
        <v>1.7</v>
      </c>
      <c r="O10" s="65" t="s">
        <v>105</v>
      </c>
      <c r="P10" s="74">
        <f>IF(C6&gt;SUM(D20:H20),C6-SUM(D20:H20),0)</f>
        <v>0</v>
      </c>
    </row>
    <row r="11" spans="1:21" s="59" customFormat="1" x14ac:dyDescent="0.2">
      <c r="B11" s="57"/>
      <c r="C11" s="57"/>
      <c r="D11" s="57"/>
      <c r="E11" s="66"/>
      <c r="F11" s="57"/>
      <c r="G11" s="57"/>
      <c r="H11" s="57"/>
      <c r="I11" s="57"/>
      <c r="J11" s="57"/>
      <c r="K11" s="57"/>
      <c r="L11" s="57"/>
      <c r="M11" s="57"/>
      <c r="N11" s="57"/>
      <c r="O11" s="65" t="s">
        <v>106</v>
      </c>
      <c r="P11" s="74">
        <f>IF(C7&gt;SUM(I20:M20),C7-SUM(I20:M20),0)</f>
        <v>123</v>
      </c>
      <c r="Q11" s="57"/>
      <c r="R11" s="57"/>
      <c r="T11" s="57"/>
    </row>
    <row r="12" spans="1:21" s="59" customFormat="1" x14ac:dyDescent="0.2"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65" t="s">
        <v>117</v>
      </c>
      <c r="P12" s="74">
        <f>IF(F10&gt;O31,F10-O31,0)</f>
        <v>0</v>
      </c>
      <c r="Q12" s="58"/>
      <c r="R12" s="57"/>
      <c r="T12" s="57"/>
    </row>
    <row r="13" spans="1:21" s="60" customFormat="1" x14ac:dyDescent="0.2"/>
    <row r="14" spans="1:21" s="60" customFormat="1" x14ac:dyDescent="0.2">
      <c r="Q14" s="61"/>
    </row>
    <row r="15" spans="1:21" s="60" customFormat="1" x14ac:dyDescent="0.2">
      <c r="Q15" s="61"/>
    </row>
    <row r="16" spans="1:21" s="60" customFormat="1" x14ac:dyDescent="0.2">
      <c r="Q16" s="61"/>
    </row>
    <row r="17" spans="3:23" x14ac:dyDescent="0.2">
      <c r="O17" s="39"/>
      <c r="P17" s="39"/>
    </row>
    <row r="18" spans="3:23" x14ac:dyDescent="0.2">
      <c r="D18" t="s">
        <v>60</v>
      </c>
      <c r="E18" t="s">
        <v>66</v>
      </c>
      <c r="F18" t="s">
        <v>61</v>
      </c>
      <c r="G18" t="s">
        <v>62</v>
      </c>
      <c r="H18" t="s">
        <v>63</v>
      </c>
      <c r="I18" t="s">
        <v>64</v>
      </c>
      <c r="J18" t="s">
        <v>65</v>
      </c>
      <c r="K18" t="s">
        <v>67</v>
      </c>
      <c r="L18" t="s">
        <v>68</v>
      </c>
      <c r="M18" t="s">
        <v>69</v>
      </c>
    </row>
    <row r="19" spans="3:23" ht="17" x14ac:dyDescent="0.25">
      <c r="C19" s="49" t="s">
        <v>57</v>
      </c>
      <c r="D19" s="48" t="s">
        <v>107</v>
      </c>
      <c r="E19" s="48" t="s">
        <v>108</v>
      </c>
      <c r="F19" s="48" t="s">
        <v>109</v>
      </c>
      <c r="G19" s="48" t="s">
        <v>110</v>
      </c>
      <c r="H19" s="48" t="s">
        <v>111</v>
      </c>
      <c r="I19" s="48" t="s">
        <v>112</v>
      </c>
      <c r="J19" s="48" t="s">
        <v>113</v>
      </c>
      <c r="K19" s="48" t="s">
        <v>114</v>
      </c>
      <c r="L19" s="48" t="s">
        <v>115</v>
      </c>
      <c r="M19" s="48" t="s">
        <v>116</v>
      </c>
      <c r="O19" s="71"/>
      <c r="P19" s="72"/>
      <c r="Q19" s="39"/>
      <c r="S19" s="46"/>
    </row>
    <row r="20" spans="3:23" x14ac:dyDescent="0.2">
      <c r="C20" s="49" t="s">
        <v>58</v>
      </c>
      <c r="D20" s="68">
        <v>525</v>
      </c>
      <c r="E20" s="68">
        <v>220</v>
      </c>
      <c r="F20" s="68">
        <v>0</v>
      </c>
      <c r="G20" s="68">
        <v>0</v>
      </c>
      <c r="H20" s="68">
        <v>100</v>
      </c>
      <c r="I20" s="68">
        <v>35</v>
      </c>
      <c r="J20" s="68">
        <v>457</v>
      </c>
      <c r="K20" s="68">
        <v>425</v>
      </c>
      <c r="L20" s="68">
        <v>75</v>
      </c>
      <c r="M20" s="68">
        <v>0</v>
      </c>
      <c r="O20" s="40" t="s">
        <v>71</v>
      </c>
      <c r="P20" s="39"/>
      <c r="Q20" s="71"/>
      <c r="S20" s="40"/>
    </row>
    <row r="21" spans="3:23" x14ac:dyDescent="0.2">
      <c r="C21" s="49" t="s">
        <v>59</v>
      </c>
      <c r="D21" s="39">
        <f>K6</f>
        <v>2.4500000000000002</v>
      </c>
      <c r="E21" s="39">
        <f>K7</f>
        <v>2.25</v>
      </c>
      <c r="F21" s="39">
        <f>K8</f>
        <v>1.95</v>
      </c>
      <c r="G21" s="39">
        <f>K9</f>
        <v>2.15</v>
      </c>
      <c r="H21" s="39">
        <f>K10</f>
        <v>2</v>
      </c>
      <c r="I21" s="39">
        <f>M6</f>
        <v>2.15</v>
      </c>
      <c r="J21" s="39">
        <f>M7</f>
        <v>1.8</v>
      </c>
      <c r="K21" s="39">
        <f>M8</f>
        <v>3.15</v>
      </c>
      <c r="L21" s="39">
        <f>M9</f>
        <v>2.75</v>
      </c>
      <c r="M21" s="39">
        <f>M10</f>
        <v>1.7</v>
      </c>
      <c r="N21" s="40" t="s">
        <v>70</v>
      </c>
      <c r="O21" s="42">
        <f>SUMPRODUCT(D20:M20,D21:M21)</f>
        <v>4424.1000000000004</v>
      </c>
      <c r="P21" s="39"/>
      <c r="Q21" s="39"/>
      <c r="R21" s="39"/>
      <c r="S21" s="39"/>
    </row>
    <row r="22" spans="3:23" x14ac:dyDescent="0.2">
      <c r="C22" s="41"/>
    </row>
    <row r="23" spans="3:23" x14ac:dyDescent="0.2">
      <c r="C23" s="49" t="s">
        <v>72</v>
      </c>
      <c r="O23" s="40" t="s">
        <v>120</v>
      </c>
      <c r="Q23" s="40" t="s">
        <v>91</v>
      </c>
      <c r="R23" s="40" t="s">
        <v>118</v>
      </c>
      <c r="S23" s="40" t="s">
        <v>119</v>
      </c>
    </row>
    <row r="24" spans="3:23" x14ac:dyDescent="0.2">
      <c r="C24" s="41" t="s">
        <v>73</v>
      </c>
      <c r="D24">
        <v>1</v>
      </c>
      <c r="E24">
        <v>1</v>
      </c>
      <c r="F24">
        <v>1</v>
      </c>
      <c r="G24">
        <v>1</v>
      </c>
      <c r="H24">
        <v>1</v>
      </c>
      <c r="I24" s="43">
        <v>0</v>
      </c>
      <c r="J24" s="43">
        <v>0</v>
      </c>
      <c r="K24" s="43">
        <v>0</v>
      </c>
      <c r="L24" s="43">
        <v>0</v>
      </c>
      <c r="M24" s="43">
        <v>0</v>
      </c>
      <c r="O24" s="75">
        <f>SUMPRODUCT(D24:M24,$D$20:$M$20)</f>
        <v>845</v>
      </c>
      <c r="P24" s="70" t="s">
        <v>92</v>
      </c>
      <c r="Q24">
        <f>C6</f>
        <v>845</v>
      </c>
    </row>
    <row r="25" spans="3:23" x14ac:dyDescent="0.2">
      <c r="C25" s="41" t="s">
        <v>74</v>
      </c>
      <c r="D25" s="43">
        <v>0</v>
      </c>
      <c r="E25" s="43">
        <v>0</v>
      </c>
      <c r="F25" s="43">
        <v>0</v>
      </c>
      <c r="G25" s="43">
        <v>0</v>
      </c>
      <c r="H25" s="43">
        <v>0</v>
      </c>
      <c r="I25">
        <v>1</v>
      </c>
      <c r="J25">
        <v>1</v>
      </c>
      <c r="K25">
        <v>1</v>
      </c>
      <c r="L25">
        <v>1</v>
      </c>
      <c r="M25">
        <v>1</v>
      </c>
      <c r="O25" s="75">
        <f>SUMPRODUCT(D25:M25,$D$20:$M$20)</f>
        <v>992</v>
      </c>
      <c r="P25" s="70" t="s">
        <v>92</v>
      </c>
      <c r="Q25">
        <f>C7</f>
        <v>1115</v>
      </c>
    </row>
    <row r="26" spans="3:23" x14ac:dyDescent="0.2">
      <c r="C26" s="41" t="s">
        <v>75</v>
      </c>
      <c r="D26" s="43">
        <v>0</v>
      </c>
      <c r="E26" s="43">
        <v>0</v>
      </c>
      <c r="F26" s="43">
        <v>0</v>
      </c>
      <c r="G26">
        <v>1</v>
      </c>
      <c r="H26" s="43">
        <v>0</v>
      </c>
      <c r="I26" s="43">
        <v>0</v>
      </c>
      <c r="J26" s="43">
        <v>0</v>
      </c>
      <c r="K26" s="43">
        <v>0</v>
      </c>
      <c r="L26" s="43">
        <v>0</v>
      </c>
      <c r="M26" s="43">
        <v>0</v>
      </c>
      <c r="O26" s="75">
        <f t="shared" ref="O26:O41" si="0">SUMPRODUCT(D26:M26,$D$20:$M$20)</f>
        <v>0</v>
      </c>
      <c r="P26" s="70" t="s">
        <v>92</v>
      </c>
      <c r="Q26">
        <f>0</f>
        <v>0</v>
      </c>
      <c r="V26" s="47"/>
      <c r="W26" s="47"/>
    </row>
    <row r="27" spans="3:23" x14ac:dyDescent="0.2">
      <c r="C27" s="41" t="s">
        <v>76</v>
      </c>
      <c r="D27">
        <v>1</v>
      </c>
      <c r="E27" s="43">
        <v>0</v>
      </c>
      <c r="F27" s="43">
        <v>0</v>
      </c>
      <c r="G27" s="43">
        <v>0</v>
      </c>
      <c r="H27" s="43">
        <v>0</v>
      </c>
      <c r="I27">
        <v>1</v>
      </c>
      <c r="J27" s="43">
        <v>0</v>
      </c>
      <c r="K27" s="43">
        <v>0</v>
      </c>
      <c r="L27" s="43">
        <v>0</v>
      </c>
      <c r="M27" s="43">
        <v>0</v>
      </c>
      <c r="O27" s="75">
        <f t="shared" si="0"/>
        <v>560</v>
      </c>
      <c r="P27" s="70" t="s">
        <v>92</v>
      </c>
      <c r="Q27">
        <f>F6</f>
        <v>560</v>
      </c>
      <c r="V27" s="50"/>
      <c r="W27" s="51"/>
    </row>
    <row r="28" spans="3:23" x14ac:dyDescent="0.2">
      <c r="C28" s="41" t="s">
        <v>77</v>
      </c>
      <c r="D28" s="43">
        <v>0</v>
      </c>
      <c r="E28">
        <v>1</v>
      </c>
      <c r="F28" s="43">
        <v>0</v>
      </c>
      <c r="G28" s="43">
        <v>0</v>
      </c>
      <c r="H28" s="43">
        <v>0</v>
      </c>
      <c r="I28" s="43">
        <v>0</v>
      </c>
      <c r="J28">
        <v>1</v>
      </c>
      <c r="K28" s="43">
        <v>0</v>
      </c>
      <c r="L28" s="43">
        <v>0</v>
      </c>
      <c r="M28" s="43">
        <v>0</v>
      </c>
      <c r="O28" s="75">
        <f t="shared" si="0"/>
        <v>677</v>
      </c>
      <c r="P28" s="70" t="s">
        <v>92</v>
      </c>
      <c r="Q28">
        <f>F7</f>
        <v>677</v>
      </c>
      <c r="V28" s="52"/>
      <c r="W28" s="47"/>
    </row>
    <row r="29" spans="3:23" x14ac:dyDescent="0.2">
      <c r="C29" s="41" t="s">
        <v>78</v>
      </c>
      <c r="D29" s="43">
        <v>0</v>
      </c>
      <c r="E29" s="43">
        <v>0</v>
      </c>
      <c r="F29">
        <v>1</v>
      </c>
      <c r="G29" s="43">
        <v>0</v>
      </c>
      <c r="H29" s="43">
        <v>0</v>
      </c>
      <c r="I29" s="43">
        <v>0</v>
      </c>
      <c r="J29" s="43">
        <v>0</v>
      </c>
      <c r="K29">
        <v>1</v>
      </c>
      <c r="L29" s="43">
        <v>0</v>
      </c>
      <c r="M29" s="43">
        <v>0</v>
      </c>
      <c r="O29" s="75">
        <f t="shared" si="0"/>
        <v>425</v>
      </c>
      <c r="P29" s="70" t="s">
        <v>92</v>
      </c>
      <c r="Q29">
        <f>F8</f>
        <v>425</v>
      </c>
    </row>
    <row r="30" spans="3:23" x14ac:dyDescent="0.2">
      <c r="C30" s="41" t="s">
        <v>79</v>
      </c>
      <c r="D30" s="43">
        <v>0</v>
      </c>
      <c r="E30" s="43">
        <v>0</v>
      </c>
      <c r="F30" s="43">
        <v>0</v>
      </c>
      <c r="G30">
        <v>1</v>
      </c>
      <c r="H30" s="43">
        <v>0</v>
      </c>
      <c r="I30" s="43">
        <v>0</v>
      </c>
      <c r="J30" s="43">
        <v>0</v>
      </c>
      <c r="K30" s="43">
        <v>0</v>
      </c>
      <c r="L30">
        <v>1</v>
      </c>
      <c r="M30" s="43">
        <v>0</v>
      </c>
      <c r="O30" s="75">
        <f t="shared" si="0"/>
        <v>75</v>
      </c>
      <c r="P30" s="70" t="s">
        <v>92</v>
      </c>
      <c r="Q30">
        <f>F9</f>
        <v>75</v>
      </c>
    </row>
    <row r="31" spans="3:23" x14ac:dyDescent="0.2">
      <c r="C31" s="41" t="s">
        <v>80</v>
      </c>
      <c r="D31" s="43">
        <v>0</v>
      </c>
      <c r="E31" s="43">
        <v>0</v>
      </c>
      <c r="F31" s="43">
        <v>0</v>
      </c>
      <c r="G31" s="43">
        <v>0</v>
      </c>
      <c r="H31">
        <v>1</v>
      </c>
      <c r="I31" s="43">
        <v>0</v>
      </c>
      <c r="J31" s="43">
        <v>0</v>
      </c>
      <c r="K31" s="43">
        <v>0</v>
      </c>
      <c r="L31" s="43">
        <v>0</v>
      </c>
      <c r="M31">
        <v>1</v>
      </c>
      <c r="O31" s="75">
        <f t="shared" si="0"/>
        <v>100</v>
      </c>
      <c r="P31" s="70" t="s">
        <v>93</v>
      </c>
      <c r="Q31">
        <f>F10</f>
        <v>100</v>
      </c>
    </row>
    <row r="32" spans="3:23" x14ac:dyDescent="0.2">
      <c r="C32" s="41" t="s">
        <v>81</v>
      </c>
      <c r="D32">
        <v>1</v>
      </c>
      <c r="E32" s="43">
        <v>0</v>
      </c>
      <c r="F32" s="43">
        <v>0</v>
      </c>
      <c r="G32" s="43">
        <v>0</v>
      </c>
      <c r="H32" s="43">
        <v>0</v>
      </c>
      <c r="I32" s="43">
        <v>0</v>
      </c>
      <c r="J32" s="43">
        <v>0</v>
      </c>
      <c r="K32" s="43">
        <v>0</v>
      </c>
      <c r="L32" s="43">
        <v>0</v>
      </c>
      <c r="M32" s="43">
        <v>0</v>
      </c>
      <c r="O32" s="75">
        <f t="shared" si="0"/>
        <v>525</v>
      </c>
      <c r="P32" s="70" t="s">
        <v>93</v>
      </c>
      <c r="Q32">
        <f t="shared" ref="Q32:Q41" si="1">$H$6</f>
        <v>525</v>
      </c>
      <c r="R32" s="47" t="str">
        <f>IF(O32&lt;=(Q32/2),"Less than half","More than half")</f>
        <v>More than half</v>
      </c>
      <c r="S32" s="47" t="str">
        <f>IF(O32&gt;0,"active","inactive")</f>
        <v>active</v>
      </c>
    </row>
    <row r="33" spans="3:19" x14ac:dyDescent="0.2">
      <c r="C33" s="41" t="s">
        <v>82</v>
      </c>
      <c r="D33" s="43">
        <v>0</v>
      </c>
      <c r="E33">
        <v>1</v>
      </c>
      <c r="F33" s="43">
        <v>0</v>
      </c>
      <c r="G33" s="43">
        <v>0</v>
      </c>
      <c r="H33" s="43">
        <v>0</v>
      </c>
      <c r="I33" s="43">
        <v>0</v>
      </c>
      <c r="J33" s="43">
        <v>0</v>
      </c>
      <c r="K33" s="43">
        <v>0</v>
      </c>
      <c r="L33" s="43">
        <v>0</v>
      </c>
      <c r="M33" s="43">
        <v>0</v>
      </c>
      <c r="O33" s="75">
        <f t="shared" si="0"/>
        <v>220</v>
      </c>
      <c r="P33" s="70" t="s">
        <v>93</v>
      </c>
      <c r="Q33">
        <f t="shared" si="1"/>
        <v>525</v>
      </c>
      <c r="R33" s="47" t="str">
        <f t="shared" ref="R33:R40" si="2">IF(O33&lt;=(Q33/2),"Less than half","More than half")</f>
        <v>Less than half</v>
      </c>
      <c r="S33" s="47" t="str">
        <f t="shared" ref="S33:S41" si="3">IF(O33&gt;0,"active","inactive")</f>
        <v>active</v>
      </c>
    </row>
    <row r="34" spans="3:19" x14ac:dyDescent="0.2">
      <c r="C34" s="41" t="s">
        <v>83</v>
      </c>
      <c r="D34" s="43">
        <v>0</v>
      </c>
      <c r="E34" s="43">
        <v>0</v>
      </c>
      <c r="F34">
        <v>1</v>
      </c>
      <c r="G34" s="43">
        <v>0</v>
      </c>
      <c r="H34" s="43">
        <v>0</v>
      </c>
      <c r="I34" s="43">
        <v>0</v>
      </c>
      <c r="J34" s="43">
        <v>0</v>
      </c>
      <c r="K34" s="43">
        <v>0</v>
      </c>
      <c r="L34" s="43">
        <v>0</v>
      </c>
      <c r="M34" s="43">
        <v>0</v>
      </c>
      <c r="O34" s="75">
        <f t="shared" si="0"/>
        <v>0</v>
      </c>
      <c r="P34" s="70" t="s">
        <v>93</v>
      </c>
      <c r="Q34">
        <f t="shared" si="1"/>
        <v>525</v>
      </c>
      <c r="R34" s="47" t="str">
        <f t="shared" si="2"/>
        <v>Less than half</v>
      </c>
      <c r="S34" s="47" t="str">
        <f t="shared" si="3"/>
        <v>inactive</v>
      </c>
    </row>
    <row r="35" spans="3:19" x14ac:dyDescent="0.2">
      <c r="C35" s="41" t="s">
        <v>84</v>
      </c>
      <c r="D35" s="43">
        <v>0</v>
      </c>
      <c r="E35" s="43">
        <v>0</v>
      </c>
      <c r="F35" s="43">
        <v>0</v>
      </c>
      <c r="G35">
        <v>1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43">
        <v>0</v>
      </c>
      <c r="O35" s="75">
        <f t="shared" si="0"/>
        <v>0</v>
      </c>
      <c r="P35" s="70" t="s">
        <v>93</v>
      </c>
      <c r="Q35">
        <f t="shared" si="1"/>
        <v>525</v>
      </c>
      <c r="R35" s="47" t="str">
        <f t="shared" si="2"/>
        <v>Less than half</v>
      </c>
      <c r="S35" s="47" t="str">
        <f t="shared" si="3"/>
        <v>inactive</v>
      </c>
    </row>
    <row r="36" spans="3:19" x14ac:dyDescent="0.2">
      <c r="C36" s="41" t="s">
        <v>85</v>
      </c>
      <c r="D36" s="43">
        <v>0</v>
      </c>
      <c r="E36" s="43">
        <v>0</v>
      </c>
      <c r="F36" s="43">
        <v>0</v>
      </c>
      <c r="G36" s="43">
        <v>0</v>
      </c>
      <c r="H36">
        <v>1</v>
      </c>
      <c r="I36" s="43">
        <v>0</v>
      </c>
      <c r="J36" s="43">
        <v>0</v>
      </c>
      <c r="K36" s="43">
        <v>0</v>
      </c>
      <c r="L36" s="43">
        <v>0</v>
      </c>
      <c r="M36" s="43">
        <v>0</v>
      </c>
      <c r="O36" s="75">
        <f t="shared" si="0"/>
        <v>100</v>
      </c>
      <c r="P36" s="70" t="s">
        <v>93</v>
      </c>
      <c r="Q36">
        <f t="shared" si="1"/>
        <v>525</v>
      </c>
      <c r="R36" s="47" t="str">
        <f t="shared" si="2"/>
        <v>Less than half</v>
      </c>
      <c r="S36" s="47" t="str">
        <f t="shared" si="3"/>
        <v>active</v>
      </c>
    </row>
    <row r="37" spans="3:19" x14ac:dyDescent="0.2">
      <c r="C37" s="41" t="s">
        <v>86</v>
      </c>
      <c r="D37" s="43">
        <v>0</v>
      </c>
      <c r="E37" s="43">
        <v>0</v>
      </c>
      <c r="F37" s="43">
        <v>0</v>
      </c>
      <c r="G37" s="43">
        <v>0</v>
      </c>
      <c r="H37" s="43">
        <v>0</v>
      </c>
      <c r="I37">
        <v>1</v>
      </c>
      <c r="J37" s="43">
        <v>0</v>
      </c>
      <c r="K37" s="43">
        <v>0</v>
      </c>
      <c r="L37" s="43">
        <v>0</v>
      </c>
      <c r="M37" s="43">
        <v>0</v>
      </c>
      <c r="O37" s="75">
        <f t="shared" si="0"/>
        <v>35</v>
      </c>
      <c r="P37" s="70" t="s">
        <v>93</v>
      </c>
      <c r="Q37">
        <f t="shared" si="1"/>
        <v>525</v>
      </c>
      <c r="R37" s="47" t="str">
        <f t="shared" si="2"/>
        <v>Less than half</v>
      </c>
      <c r="S37" s="47" t="str">
        <f t="shared" si="3"/>
        <v>active</v>
      </c>
    </row>
    <row r="38" spans="3:19" x14ac:dyDescent="0.2">
      <c r="C38" s="41" t="s">
        <v>87</v>
      </c>
      <c r="D38" s="43">
        <v>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>
        <v>1</v>
      </c>
      <c r="K38" s="43">
        <v>0</v>
      </c>
      <c r="L38" s="43">
        <v>0</v>
      </c>
      <c r="M38" s="43">
        <v>0</v>
      </c>
      <c r="O38" s="75">
        <f t="shared" si="0"/>
        <v>457</v>
      </c>
      <c r="P38" s="70" t="s">
        <v>93</v>
      </c>
      <c r="Q38">
        <f t="shared" si="1"/>
        <v>525</v>
      </c>
      <c r="R38" s="47" t="str">
        <f t="shared" si="2"/>
        <v>More than half</v>
      </c>
      <c r="S38" s="47" t="str">
        <f t="shared" si="3"/>
        <v>active</v>
      </c>
    </row>
    <row r="39" spans="3:19" x14ac:dyDescent="0.2">
      <c r="C39" s="41" t="s">
        <v>88</v>
      </c>
      <c r="D39" s="43">
        <v>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>
        <v>1</v>
      </c>
      <c r="L39" s="43">
        <v>0</v>
      </c>
      <c r="M39" s="43">
        <v>0</v>
      </c>
      <c r="O39" s="75">
        <f t="shared" si="0"/>
        <v>425</v>
      </c>
      <c r="P39" s="70" t="s">
        <v>93</v>
      </c>
      <c r="Q39">
        <f>$H$6</f>
        <v>525</v>
      </c>
      <c r="R39" s="47" t="str">
        <f t="shared" si="2"/>
        <v>More than half</v>
      </c>
      <c r="S39" s="47" t="str">
        <f t="shared" si="3"/>
        <v>active</v>
      </c>
    </row>
    <row r="40" spans="3:19" x14ac:dyDescent="0.2">
      <c r="C40" s="41" t="s">
        <v>89</v>
      </c>
      <c r="D40" s="43">
        <v>0</v>
      </c>
      <c r="E40" s="43">
        <v>0</v>
      </c>
      <c r="F40" s="43">
        <v>0</v>
      </c>
      <c r="G40" s="43">
        <v>0</v>
      </c>
      <c r="H40" s="43">
        <v>0</v>
      </c>
      <c r="I40" s="43">
        <v>0</v>
      </c>
      <c r="J40" s="43">
        <v>0</v>
      </c>
      <c r="K40" s="43">
        <v>0</v>
      </c>
      <c r="L40">
        <v>1</v>
      </c>
      <c r="M40" s="43">
        <v>0</v>
      </c>
      <c r="O40" s="75">
        <f t="shared" si="0"/>
        <v>75</v>
      </c>
      <c r="P40" s="70" t="s">
        <v>93</v>
      </c>
      <c r="Q40">
        <f t="shared" si="1"/>
        <v>525</v>
      </c>
      <c r="R40" s="47" t="str">
        <f t="shared" si="2"/>
        <v>Less than half</v>
      </c>
      <c r="S40" s="47" t="str">
        <f t="shared" si="3"/>
        <v>active</v>
      </c>
    </row>
    <row r="41" spans="3:19" x14ac:dyDescent="0.2">
      <c r="C41" s="41" t="s">
        <v>90</v>
      </c>
      <c r="D41" s="43">
        <v>0</v>
      </c>
      <c r="E41" s="43">
        <v>0</v>
      </c>
      <c r="F41" s="43">
        <v>0</v>
      </c>
      <c r="G41" s="43">
        <v>0</v>
      </c>
      <c r="H41" s="43">
        <v>0</v>
      </c>
      <c r="I41" s="43">
        <v>0</v>
      </c>
      <c r="J41" s="43">
        <v>0</v>
      </c>
      <c r="K41" s="43">
        <v>0</v>
      </c>
      <c r="L41" s="43">
        <v>0</v>
      </c>
      <c r="M41">
        <v>1</v>
      </c>
      <c r="O41" s="75">
        <f t="shared" si="0"/>
        <v>0</v>
      </c>
      <c r="P41" s="70" t="s">
        <v>93</v>
      </c>
      <c r="Q41">
        <f t="shared" si="1"/>
        <v>525</v>
      </c>
      <c r="R41" s="47" t="str">
        <f>IF(O41&lt;=(Q41/2),"Less than half","More than half")</f>
        <v>Less than half</v>
      </c>
      <c r="S41" s="47" t="str">
        <f t="shared" si="3"/>
        <v>inactive</v>
      </c>
    </row>
  </sheetData>
  <mergeCells count="6">
    <mergeCell ref="O4:R4"/>
    <mergeCell ref="O8:P8"/>
    <mergeCell ref="J5:M5"/>
    <mergeCell ref="E5:F5"/>
    <mergeCell ref="B5:C5"/>
    <mergeCell ref="B4:M4"/>
  </mergeCells>
  <conditionalFormatting sqref="R32:R41">
    <cfRule type="containsText" dxfId="2" priority="3" stopIfTrue="1" operator="containsText" text="Less than half">
      <formula>NOT(ISERROR(SEARCH("Less than half",R32)))</formula>
    </cfRule>
  </conditionalFormatting>
  <conditionalFormatting sqref="S32:S41">
    <cfRule type="beginsWith" dxfId="1" priority="1" stopIfTrue="1" operator="beginsWith" text="active">
      <formula>LEFT(S32,LEN("active"))="active"</formula>
    </cfRule>
    <cfRule type="containsText" dxfId="0" priority="2" stopIfTrue="1" operator="containsText" text="inactive">
      <formula>NOT(ISERROR(SEARCH("inactive",S32)))</formula>
    </cfRule>
  </conditionalFormatting>
  <pageMargins left="0.7" right="0.7" top="0.75" bottom="0.75" header="0.3" footer="0.3"/>
  <ignoredErrors>
    <ignoredError sqref="P6:P7 P10:P11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olve_it">
                <anchor moveWithCells="1" sizeWithCells="1">
                  <from>
                    <xdr:col>6</xdr:col>
                    <xdr:colOff>228600</xdr:colOff>
                    <xdr:row>12</xdr:row>
                    <xdr:rowOff>38100</xdr:rowOff>
                  </from>
                  <to>
                    <xdr:col>7</xdr:col>
                    <xdr:colOff>838200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Week1">
                <anchor moveWithCells="1" sizeWithCells="1">
                  <from>
                    <xdr:col>18</xdr:col>
                    <xdr:colOff>342900</xdr:colOff>
                    <xdr:row>3</xdr:row>
                    <xdr:rowOff>12700</xdr:rowOff>
                  </from>
                  <to>
                    <xdr:col>19</xdr:col>
                    <xdr:colOff>647700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Week4">
                <anchor moveWithCells="1" sizeWithCells="1">
                  <from>
                    <xdr:col>18</xdr:col>
                    <xdr:colOff>355600</xdr:colOff>
                    <xdr:row>4</xdr:row>
                    <xdr:rowOff>114300</xdr:rowOff>
                  </from>
                  <to>
                    <xdr:col>19</xdr:col>
                    <xdr:colOff>635000</xdr:colOff>
                    <xdr:row>4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" name="Button 15">
              <controlPr defaultSize="0" print="0" autoFill="0" autoPict="0" macro="[0]!flat_rate">
                <anchor moveWithCells="1" sizeWithCells="1">
                  <from>
                    <xdr:col>18</xdr:col>
                    <xdr:colOff>381000</xdr:colOff>
                    <xdr:row>5</xdr:row>
                    <xdr:rowOff>76200</xdr:rowOff>
                  </from>
                  <to>
                    <xdr:col>19</xdr:col>
                    <xdr:colOff>673100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solve_it_open">
                <anchor moveWithCells="1" sizeWithCells="1">
                  <from>
                    <xdr:col>8</xdr:col>
                    <xdr:colOff>0</xdr:colOff>
                    <xdr:row>12</xdr:row>
                    <xdr:rowOff>38100</xdr:rowOff>
                  </from>
                  <to>
                    <xdr:col>9</xdr:col>
                    <xdr:colOff>571500</xdr:colOff>
                    <xdr:row>15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User</vt:lpstr>
      <vt:lpstr>Model</vt:lpstr>
    </vt:vector>
  </TitlesOfParts>
  <Manager/>
  <Company>Lancaster University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Hindle, Adam</dc:creator>
  <cp:keywords/>
  <dc:description/>
  <cp:lastModifiedBy>Microsoft Office User</cp:lastModifiedBy>
  <dcterms:created xsi:type="dcterms:W3CDTF">2024-11-08T12:09:08Z</dcterms:created>
  <dcterms:modified xsi:type="dcterms:W3CDTF">2025-01-14T19:49:17Z</dcterms:modified>
  <cp:category/>
</cp:coreProperties>
</file>